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42A66FB8-B0B1-4840-8C87-866918A969DB}"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Dashboard" sheetId="5" r:id="rId2"/>
    <sheet name="Pivote Table" sheetId="6" r:id="rId3"/>
    <sheet name="Dataset" sheetId="2"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7" i="2" l="1"/>
  <c r="N8" i="2"/>
  <c r="N9" i="2"/>
  <c r="N10" i="2"/>
  <c r="N11" i="2"/>
  <c r="N12" i="2"/>
  <c r="N13" i="2"/>
  <c r="N14" i="2"/>
  <c r="N19" i="2"/>
  <c r="N20" i="2"/>
  <c r="N21" i="2"/>
  <c r="N22" i="2"/>
  <c r="N23" i="2"/>
  <c r="N24" i="2"/>
  <c r="N25" i="2"/>
  <c r="N26" i="2"/>
  <c r="N31" i="2"/>
  <c r="N32" i="2"/>
  <c r="N33" i="2"/>
  <c r="N34" i="2"/>
  <c r="N35" i="2"/>
  <c r="N36" i="2"/>
  <c r="N37" i="2"/>
  <c r="N38" i="2"/>
  <c r="N43" i="2"/>
  <c r="N44" i="2"/>
  <c r="N45" i="2"/>
  <c r="N46" i="2"/>
  <c r="N47" i="2"/>
  <c r="N48" i="2"/>
  <c r="N49" i="2"/>
  <c r="N50" i="2"/>
  <c r="N55" i="2"/>
  <c r="N56" i="2"/>
  <c r="N57" i="2"/>
  <c r="N58" i="2"/>
  <c r="N59" i="2"/>
  <c r="N60" i="2"/>
  <c r="N61" i="2"/>
  <c r="N62" i="2"/>
  <c r="N67" i="2"/>
  <c r="N68" i="2"/>
  <c r="N69" i="2"/>
  <c r="N70" i="2"/>
  <c r="N71" i="2"/>
  <c r="N72" i="2"/>
  <c r="N73" i="2"/>
  <c r="N74" i="2"/>
  <c r="N79" i="2"/>
  <c r="N80" i="2"/>
  <c r="N81" i="2"/>
  <c r="N82" i="2"/>
  <c r="N83" i="2"/>
  <c r="N84" i="2"/>
  <c r="N85" i="2"/>
  <c r="N86" i="2"/>
  <c r="N91" i="2"/>
  <c r="N92" i="2"/>
  <c r="N93" i="2"/>
  <c r="N94" i="2"/>
  <c r="N95" i="2"/>
  <c r="N96" i="2"/>
  <c r="N97" i="2"/>
  <c r="N98" i="2"/>
  <c r="N103" i="2"/>
  <c r="N104" i="2"/>
  <c r="N105" i="2"/>
  <c r="N106" i="2"/>
  <c r="N107" i="2"/>
  <c r="N108" i="2"/>
  <c r="N109" i="2"/>
  <c r="N110" i="2"/>
  <c r="N115" i="2"/>
  <c r="N116" i="2"/>
  <c r="N117" i="2"/>
  <c r="N118" i="2"/>
  <c r="N119" i="2"/>
  <c r="N120" i="2"/>
  <c r="N121" i="2"/>
  <c r="N122" i="2"/>
  <c r="N127" i="2"/>
  <c r="N128" i="2"/>
  <c r="N129" i="2"/>
  <c r="N130" i="2"/>
  <c r="N131" i="2"/>
  <c r="N132" i="2"/>
  <c r="N133" i="2"/>
  <c r="N134" i="2"/>
  <c r="N139" i="2"/>
  <c r="N140" i="2"/>
  <c r="N141" i="2"/>
  <c r="N142" i="2"/>
  <c r="N143" i="2"/>
  <c r="N144" i="2"/>
  <c r="N145" i="2"/>
  <c r="N146" i="2"/>
  <c r="N151" i="2"/>
  <c r="N152" i="2"/>
  <c r="N153" i="2"/>
  <c r="N154" i="2"/>
  <c r="N155" i="2"/>
  <c r="N156" i="2"/>
  <c r="N157" i="2"/>
  <c r="N158" i="2"/>
  <c r="N163" i="2"/>
  <c r="N164" i="2"/>
  <c r="N165" i="2"/>
  <c r="N166" i="2"/>
  <c r="N167" i="2"/>
  <c r="N168" i="2"/>
  <c r="N169" i="2"/>
  <c r="N170" i="2"/>
  <c r="N175" i="2"/>
  <c r="N176" i="2"/>
  <c r="N177" i="2"/>
  <c r="N178" i="2"/>
  <c r="N179" i="2"/>
  <c r="N180" i="2"/>
  <c r="N181" i="2"/>
  <c r="N182" i="2"/>
  <c r="N187" i="2"/>
  <c r="N188" i="2"/>
  <c r="N189" i="2"/>
  <c r="N190" i="2"/>
  <c r="N191" i="2"/>
  <c r="N192" i="2"/>
  <c r="N193" i="2"/>
  <c r="N194" i="2"/>
  <c r="N199" i="2"/>
  <c r="N200" i="2"/>
  <c r="N201" i="2"/>
  <c r="N2" i="2"/>
  <c r="M3" i="2"/>
  <c r="N3" i="2" s="1"/>
  <c r="M4" i="2"/>
  <c r="N4" i="2" s="1"/>
  <c r="M5" i="2"/>
  <c r="N5" i="2" s="1"/>
  <c r="M6" i="2"/>
  <c r="N6" i="2" s="1"/>
  <c r="M7" i="2"/>
  <c r="M8" i="2"/>
  <c r="M9" i="2"/>
  <c r="M10" i="2"/>
  <c r="M11" i="2"/>
  <c r="M12" i="2"/>
  <c r="M13" i="2"/>
  <c r="M14" i="2"/>
  <c r="M15" i="2"/>
  <c r="N15" i="2" s="1"/>
  <c r="M16" i="2"/>
  <c r="N16" i="2" s="1"/>
  <c r="M17" i="2"/>
  <c r="N17" i="2" s="1"/>
  <c r="M18" i="2"/>
  <c r="N18" i="2" s="1"/>
  <c r="M19" i="2"/>
  <c r="M20" i="2"/>
  <c r="M21" i="2"/>
  <c r="M22" i="2"/>
  <c r="M23" i="2"/>
  <c r="M24" i="2"/>
  <c r="M25" i="2"/>
  <c r="M26" i="2"/>
  <c r="M27" i="2"/>
  <c r="N27" i="2" s="1"/>
  <c r="M28" i="2"/>
  <c r="N28" i="2" s="1"/>
  <c r="M29" i="2"/>
  <c r="N29" i="2" s="1"/>
  <c r="M30" i="2"/>
  <c r="N30" i="2" s="1"/>
  <c r="M31" i="2"/>
  <c r="M32" i="2"/>
  <c r="M33" i="2"/>
  <c r="M34" i="2"/>
  <c r="M35" i="2"/>
  <c r="M36" i="2"/>
  <c r="M37" i="2"/>
  <c r="M38" i="2"/>
  <c r="M39" i="2"/>
  <c r="N39" i="2" s="1"/>
  <c r="M40" i="2"/>
  <c r="N40" i="2" s="1"/>
  <c r="M41" i="2"/>
  <c r="N41" i="2" s="1"/>
  <c r="M42" i="2"/>
  <c r="N42" i="2" s="1"/>
  <c r="M43" i="2"/>
  <c r="M44" i="2"/>
  <c r="M45" i="2"/>
  <c r="M46" i="2"/>
  <c r="M47" i="2"/>
  <c r="M48" i="2"/>
  <c r="M49" i="2"/>
  <c r="M50" i="2"/>
  <c r="M51" i="2"/>
  <c r="N51" i="2" s="1"/>
  <c r="M52" i="2"/>
  <c r="N52" i="2" s="1"/>
  <c r="M53" i="2"/>
  <c r="N53" i="2" s="1"/>
  <c r="M54" i="2"/>
  <c r="N54" i="2" s="1"/>
  <c r="M55" i="2"/>
  <c r="M56" i="2"/>
  <c r="M57" i="2"/>
  <c r="M58" i="2"/>
  <c r="M59" i="2"/>
  <c r="M60" i="2"/>
  <c r="M61" i="2"/>
  <c r="M62" i="2"/>
  <c r="M63" i="2"/>
  <c r="N63" i="2" s="1"/>
  <c r="M64" i="2"/>
  <c r="N64" i="2" s="1"/>
  <c r="M65" i="2"/>
  <c r="N65" i="2" s="1"/>
  <c r="M66" i="2"/>
  <c r="N66" i="2" s="1"/>
  <c r="M67" i="2"/>
  <c r="M68" i="2"/>
  <c r="M69" i="2"/>
  <c r="M70" i="2"/>
  <c r="M71" i="2"/>
  <c r="M72" i="2"/>
  <c r="M73" i="2"/>
  <c r="M74" i="2"/>
  <c r="M75" i="2"/>
  <c r="N75" i="2" s="1"/>
  <c r="M76" i="2"/>
  <c r="N76" i="2" s="1"/>
  <c r="M77" i="2"/>
  <c r="N77" i="2" s="1"/>
  <c r="M78" i="2"/>
  <c r="N78" i="2" s="1"/>
  <c r="M79" i="2"/>
  <c r="M80" i="2"/>
  <c r="M81" i="2"/>
  <c r="M82" i="2"/>
  <c r="M83" i="2"/>
  <c r="M84" i="2"/>
  <c r="M85" i="2"/>
  <c r="M86" i="2"/>
  <c r="M87" i="2"/>
  <c r="N87" i="2" s="1"/>
  <c r="M88" i="2"/>
  <c r="N88" i="2" s="1"/>
  <c r="M89" i="2"/>
  <c r="N89" i="2" s="1"/>
  <c r="M90" i="2"/>
  <c r="N90" i="2" s="1"/>
  <c r="M91" i="2"/>
  <c r="M92" i="2"/>
  <c r="M93" i="2"/>
  <c r="M94" i="2"/>
  <c r="M95" i="2"/>
  <c r="M96" i="2"/>
  <c r="M97" i="2"/>
  <c r="M98" i="2"/>
  <c r="M99" i="2"/>
  <c r="N99" i="2" s="1"/>
  <c r="M100" i="2"/>
  <c r="N100" i="2" s="1"/>
  <c r="M101" i="2"/>
  <c r="N101" i="2" s="1"/>
  <c r="M102" i="2"/>
  <c r="N102" i="2" s="1"/>
  <c r="M103" i="2"/>
  <c r="M104" i="2"/>
  <c r="M105" i="2"/>
  <c r="M106" i="2"/>
  <c r="M107" i="2"/>
  <c r="M108" i="2"/>
  <c r="M109" i="2"/>
  <c r="M110" i="2"/>
  <c r="M111" i="2"/>
  <c r="N111" i="2" s="1"/>
  <c r="M112" i="2"/>
  <c r="N112" i="2" s="1"/>
  <c r="M113" i="2"/>
  <c r="N113" i="2" s="1"/>
  <c r="M114" i="2"/>
  <c r="N114" i="2" s="1"/>
  <c r="M115" i="2"/>
  <c r="M116" i="2"/>
  <c r="M117" i="2"/>
  <c r="M118" i="2"/>
  <c r="M119" i="2"/>
  <c r="M120" i="2"/>
  <c r="M121" i="2"/>
  <c r="M122" i="2"/>
  <c r="M123" i="2"/>
  <c r="N123" i="2" s="1"/>
  <c r="M124" i="2"/>
  <c r="N124" i="2" s="1"/>
  <c r="M125" i="2"/>
  <c r="N125" i="2" s="1"/>
  <c r="M126" i="2"/>
  <c r="N126" i="2" s="1"/>
  <c r="M127" i="2"/>
  <c r="M128" i="2"/>
  <c r="M129" i="2"/>
  <c r="M130" i="2"/>
  <c r="M131" i="2"/>
  <c r="M132" i="2"/>
  <c r="M133" i="2"/>
  <c r="M134" i="2"/>
  <c r="M135" i="2"/>
  <c r="N135" i="2" s="1"/>
  <c r="M136" i="2"/>
  <c r="N136" i="2" s="1"/>
  <c r="M137" i="2"/>
  <c r="N137" i="2" s="1"/>
  <c r="M138" i="2"/>
  <c r="N138" i="2" s="1"/>
  <c r="M139" i="2"/>
  <c r="M140" i="2"/>
  <c r="M141" i="2"/>
  <c r="M142" i="2"/>
  <c r="M143" i="2"/>
  <c r="M144" i="2"/>
  <c r="M145" i="2"/>
  <c r="M146" i="2"/>
  <c r="M147" i="2"/>
  <c r="N147" i="2" s="1"/>
  <c r="M148" i="2"/>
  <c r="N148" i="2" s="1"/>
  <c r="M149" i="2"/>
  <c r="N149" i="2" s="1"/>
  <c r="M150" i="2"/>
  <c r="N150" i="2" s="1"/>
  <c r="M151" i="2"/>
  <c r="M152" i="2"/>
  <c r="M153" i="2"/>
  <c r="M154" i="2"/>
  <c r="M155" i="2"/>
  <c r="M156" i="2"/>
  <c r="M157" i="2"/>
  <c r="M158" i="2"/>
  <c r="M159" i="2"/>
  <c r="N159" i="2" s="1"/>
  <c r="M160" i="2"/>
  <c r="N160" i="2" s="1"/>
  <c r="M161" i="2"/>
  <c r="N161" i="2" s="1"/>
  <c r="M162" i="2"/>
  <c r="N162" i="2" s="1"/>
  <c r="M163" i="2"/>
  <c r="M164" i="2"/>
  <c r="M165" i="2"/>
  <c r="M166" i="2"/>
  <c r="M167" i="2"/>
  <c r="M168" i="2"/>
  <c r="M169" i="2"/>
  <c r="M170" i="2"/>
  <c r="M171" i="2"/>
  <c r="N171" i="2" s="1"/>
  <c r="M172" i="2"/>
  <c r="N172" i="2" s="1"/>
  <c r="M173" i="2"/>
  <c r="N173" i="2" s="1"/>
  <c r="M174" i="2"/>
  <c r="N174" i="2" s="1"/>
  <c r="M175" i="2"/>
  <c r="M176" i="2"/>
  <c r="M177" i="2"/>
  <c r="M178" i="2"/>
  <c r="M179" i="2"/>
  <c r="M180" i="2"/>
  <c r="M181" i="2"/>
  <c r="M182" i="2"/>
  <c r="M183" i="2"/>
  <c r="N183" i="2" s="1"/>
  <c r="M184" i="2"/>
  <c r="N184" i="2" s="1"/>
  <c r="M185" i="2"/>
  <c r="N185" i="2" s="1"/>
  <c r="M186" i="2"/>
  <c r="N186" i="2" s="1"/>
  <c r="M187" i="2"/>
  <c r="M188" i="2"/>
  <c r="M189" i="2"/>
  <c r="M190" i="2"/>
  <c r="M191" i="2"/>
  <c r="M192" i="2"/>
  <c r="M193" i="2"/>
  <c r="M194" i="2"/>
  <c r="M195" i="2"/>
  <c r="N195" i="2" s="1"/>
  <c r="M196" i="2"/>
  <c r="N196" i="2" s="1"/>
  <c r="M197" i="2"/>
  <c r="N197" i="2" s="1"/>
  <c r="M198" i="2"/>
  <c r="N198" i="2" s="1"/>
  <c r="M199" i="2"/>
  <c r="M200" i="2"/>
  <c r="M201" i="2"/>
  <c r="M2" i="2"/>
  <c r="K3" i="2" l="1"/>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 i="2"/>
  <c r="L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alcChain>
</file>

<file path=xl/sharedStrings.xml><?xml version="1.0" encoding="utf-8"?>
<sst xmlns="http://schemas.openxmlformats.org/spreadsheetml/2006/main" count="946" uniqueCount="129">
  <si>
    <t>Customer_ID</t>
  </si>
  <si>
    <t>PR. 2 Analyzer</t>
  </si>
  <si>
    <t>Customer_Name</t>
  </si>
  <si>
    <t>Region</t>
  </si>
  <si>
    <t>Product_Category</t>
  </si>
  <si>
    <t>Sales</t>
  </si>
  <si>
    <t>Quantity</t>
  </si>
  <si>
    <t>Discount</t>
  </si>
  <si>
    <t>Order_Date</t>
  </si>
  <si>
    <t>Profit</t>
  </si>
  <si>
    <t>CUST019</t>
  </si>
  <si>
    <t>James Davis</t>
  </si>
  <si>
    <t>West</t>
  </si>
  <si>
    <t>Books</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</si>
  <si>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</si>
  <si>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</si>
  <si>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</si>
  <si>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</si>
  <si>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</si>
  <si>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</si>
  <si>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</si>
  <si>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</si>
  <si>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</si>
  <si>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</si>
  <si>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</si>
  <si>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</si>
  <si>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</si>
  <si>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</si>
  <si>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</si>
  <si>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</si>
  <si>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</si>
  <si>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</si>
  <si>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</si>
  <si>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</si>
  <si>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</si>
  <si>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</si>
  <si>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</si>
  <si>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</si>
  <si>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</si>
  <si>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</si>
  <si>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</si>
  <si>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</si>
  <si>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</si>
  <si>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</si>
  <si>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</si>
  <si>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</si>
  <si>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</si>
  <si>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</si>
  <si>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</si>
  <si>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</si>
  <si>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</si>
  <si>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</si>
  <si>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</si>
  <si>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</si>
  <si>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</si>
  <si>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</si>
  <si>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</si>
  <si>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</si>
  <si>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</si>
  <si>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</si>
  <si>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</si>
  <si>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</si>
  <si>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</si>
  <si>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</si>
  <si>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</si>
  <si>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</si>
  <si>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</si>
  <si>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</si>
  <si>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</si>
  <si>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</si>
  <si>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</si>
  <si>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</si>
  <si>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</si>
  <si>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</si>
  <si>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</si>
  <si>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</si>
  <si>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</si>
  <si>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</si>
  <si>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Timestamp Column</t>
  </si>
  <si>
    <t xml:space="preserve"> What If Analysis Test_Discount</t>
  </si>
  <si>
    <t>New_Profit_Scenario</t>
  </si>
  <si>
    <t>Column1</t>
  </si>
  <si>
    <t>Column2</t>
  </si>
  <si>
    <t>Column3</t>
  </si>
  <si>
    <t>Column4</t>
  </si>
  <si>
    <t>Column5</t>
  </si>
  <si>
    <t>Mean</t>
  </si>
  <si>
    <t>Standard Error</t>
  </si>
  <si>
    <t>Median</t>
  </si>
  <si>
    <t>Mode</t>
  </si>
  <si>
    <t>Standard Deviation</t>
  </si>
  <si>
    <t>Sample Variance</t>
  </si>
  <si>
    <t>Kurtosis</t>
  </si>
  <si>
    <t>Skewness</t>
  </si>
  <si>
    <t>Range</t>
  </si>
  <si>
    <t>Minimum</t>
  </si>
  <si>
    <t>Maximum</t>
  </si>
  <si>
    <t>Sum</t>
  </si>
  <si>
    <t>Count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</si>
  <si>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</si>
  <si>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</si>
  <si>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</si>
  <si>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</si>
  <si>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</si>
  <si>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</si>
  <si>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</si>
  <si>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</si>
  <si>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</si>
  <si>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</si>
  <si>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</si>
  <si>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</si>
  <si>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</si>
  <si>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</si>
  <si>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</si>
  <si>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</si>
  <si>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</si>
  <si>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</si>
  <si>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</si>
  <si>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</si>
  <si>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</si>
  <si>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</si>
  <si>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</si>
  <si>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Linear Regression</t>
  </si>
  <si>
    <t>Index And Match</t>
  </si>
  <si>
    <t>Rank Number</t>
  </si>
  <si>
    <t>Row Labels</t>
  </si>
  <si>
    <t>Grand Total</t>
  </si>
  <si>
    <t>Sum of Sales</t>
  </si>
  <si>
    <t xml:space="preserve">Descriptive Statistics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</si>
</sst>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Green]\▲\ \+0.\10%;[Red]\▼\ \-0.0\1%;0.0\2%"/>
  </numFmts>
  <fonts count="12" x14ac:knownFonts="1">
    <font>
      <sz val="11"/>
      <color theme="1"/>
      <name val="Calibri"/>
      <scheme val="minor"/>
    </font>
    <font>
      <b/>
      <sz val="11"/>
      <color theme="1"/>
      <name val="Calibri"/>
      <scheme val="minor"/>
    </font>
    <font>
      <b/>
      <sz val="11"/>
      <color theme="1"/>
      <name val="Calibri"/>
    </font>
    <font>
      <sz val="11"/>
      <color theme="1"/>
      <name val="Calibri"/>
    </font>
    <font>
      <sz val="11"/>
      <color theme="1"/>
      <name val="Calibri"/>
      <scheme val="minor"/>
    </font>
    <font>
      <b/>
      <sz val="11"/>
      <color rgb="FF38761D"/>
      <name val="Calibri"/>
    </font>
    <font>
      <sz val="11"/>
      <color rgb="FF38761D"/>
      <name val="Calibri"/>
    </font>
    <font>
      <b/>
      <sz val="11"/>
      <color theme="1"/>
      <name val="Calibri"/>
      <family val="2"/>
      <scheme val="minor"/>
    </font>
    <font>
      <i/>
      <sz val="11"/>
      <color theme="1"/>
      <name val="Calibri"/>
      <family val="2"/>
      <scheme val="minor"/>
    </font>
    <font>
      <b/>
      <sz val="16"/>
      <color theme="1"/>
      <name val="Calibri"/>
      <family val="2"/>
      <scheme val="minor"/>
    </font>
    <font>
      <i/>
      <sz val="14"/>
      <color theme="1"/>
      <name val="Calibri"/>
      <family val="2"/>
      <scheme val="minor"/>
    </font>
    <font>
      <b/>
      <sz val="22"/>
      <color theme="1"/>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1">
    <xf numFmtId="0" fontId="0" fillId="0" borderId="0"/>
  </cellStyleXfs>
  <cellXfs count="41">
    <xf numFmtId="0" fontId="0" fillId="0" borderId="0" xfId="0" applyFont="1" applyAlignment="1"/>
    <xf numFmtId="0" fontId="2" fillId="2" borderId="1" xfId="0" applyFont="1" applyFill="1" applyBorder="1" applyAlignment="1">
      <alignment horizontal="center"/>
    </xf>
    <xf numFmtId="0" fontId="3" fillId="0" borderId="0" xfId="0" applyFont="1"/>
    <xf numFmtId="0" fontId="3" fillId="0" borderId="1" xfId="0" applyFont="1" applyBorder="1" applyAlignment="1"/>
    <xf numFmtId="10" fontId="4" fillId="0" borderId="0" xfId="0" applyNumberFormat="1" applyFont="1"/>
    <xf numFmtId="22" fontId="4" fillId="0" borderId="0" xfId="0" applyNumberFormat="1" applyFont="1"/>
    <xf numFmtId="0" fontId="0" fillId="0" borderId="0" xfId="0" applyFill="1" applyBorder="1" applyAlignment="1"/>
    <xf numFmtId="0" fontId="0" fillId="0" borderId="0" xfId="0" applyFont="1" applyBorder="1" applyAlignment="1"/>
    <xf numFmtId="0" fontId="8" fillId="0" borderId="0" xfId="0" applyFont="1" applyFill="1" applyBorder="1" applyAlignment="1">
      <alignment horizontal="center"/>
    </xf>
    <xf numFmtId="0" fontId="0" fillId="0" borderId="0" xfId="0" applyFont="1" applyBorder="1" applyAlignment="1">
      <alignment horizontal="center"/>
    </xf>
    <xf numFmtId="0" fontId="7" fillId="0" borderId="0" xfId="0" applyFont="1" applyBorder="1"/>
    <xf numFmtId="0" fontId="7" fillId="0" borderId="0" xfId="0" applyFont="1" applyBorder="1" applyAlignment="1">
      <alignment horizontal="center"/>
    </xf>
    <xf numFmtId="0" fontId="7" fillId="0" borderId="6" xfId="0" applyFont="1" applyBorder="1" applyAlignment="1">
      <alignment horizontal="center"/>
    </xf>
    <xf numFmtId="0" fontId="0" fillId="0" borderId="0" xfId="0" pivotButton="1" applyFont="1" applyAlignment="1"/>
    <xf numFmtId="0" fontId="7" fillId="0" borderId="0" xfId="0" applyFont="1" applyBorder="1" applyAlignment="1"/>
    <xf numFmtId="0" fontId="1" fillId="3" borderId="3" xfId="0" applyFont="1" applyFill="1" applyBorder="1" applyAlignment="1"/>
    <xf numFmtId="0" fontId="1" fillId="3" borderId="3" xfId="0" applyFont="1" applyFill="1" applyBorder="1" applyAlignment="1">
      <alignment horizontal="center"/>
    </xf>
    <xf numFmtId="0" fontId="1" fillId="3" borderId="5" xfId="0" applyFont="1" applyFill="1" applyBorder="1" applyAlignment="1">
      <alignment horizontal="center"/>
    </xf>
    <xf numFmtId="0" fontId="7" fillId="3" borderId="3" xfId="0" applyFont="1" applyFill="1" applyBorder="1" applyAlignment="1">
      <alignment horizontal="center"/>
    </xf>
    <xf numFmtId="0" fontId="0" fillId="3" borderId="0" xfId="0" applyFont="1" applyFill="1" applyAlignment="1">
      <alignment horizontal="left"/>
    </xf>
    <xf numFmtId="0" fontId="0" fillId="3" borderId="0" xfId="0" applyNumberFormat="1" applyFont="1" applyFill="1" applyAlignment="1"/>
    <xf numFmtId="0" fontId="0" fillId="4" borderId="0" xfId="0" applyNumberFormat="1" applyFont="1" applyFill="1" applyAlignment="1"/>
    <xf numFmtId="0" fontId="0" fillId="4" borderId="0" xfId="0" applyFont="1" applyFill="1" applyAlignment="1">
      <alignment horizontal="left" indent="1"/>
    </xf>
    <xf numFmtId="0" fontId="0" fillId="4" borderId="3" xfId="0" applyFont="1" applyFill="1" applyBorder="1" applyAlignment="1"/>
    <xf numFmtId="0" fontId="0" fillId="4" borderId="3" xfId="0" applyFont="1" applyFill="1" applyBorder="1" applyAlignment="1">
      <alignment horizontal="center"/>
    </xf>
    <xf numFmtId="0" fontId="4" fillId="5" borderId="3" xfId="0" applyFont="1" applyFill="1" applyBorder="1" applyAlignment="1"/>
    <xf numFmtId="164" fontId="4" fillId="5" borderId="3" xfId="0" applyNumberFormat="1" applyFont="1" applyFill="1" applyBorder="1" applyAlignment="1"/>
    <xf numFmtId="22" fontId="4" fillId="5" borderId="3" xfId="0" applyNumberFormat="1" applyFont="1" applyFill="1" applyBorder="1"/>
    <xf numFmtId="0" fontId="0" fillId="5" borderId="3" xfId="0" applyFont="1" applyFill="1" applyBorder="1" applyAlignment="1"/>
    <xf numFmtId="165" fontId="4" fillId="5" borderId="5" xfId="0" applyNumberFormat="1" applyFont="1" applyFill="1" applyBorder="1"/>
    <xf numFmtId="0" fontId="0" fillId="5" borderId="3" xfId="0" applyFont="1" applyFill="1" applyBorder="1" applyAlignment="1">
      <alignment horizontal="center"/>
    </xf>
    <xf numFmtId="0" fontId="8" fillId="4" borderId="3" xfId="0" applyFont="1" applyFill="1" applyBorder="1" applyAlignment="1">
      <alignment horizontal="center"/>
    </xf>
    <xf numFmtId="0" fontId="0" fillId="4" borderId="3" xfId="0" applyFill="1" applyBorder="1" applyAlignment="1"/>
    <xf numFmtId="0" fontId="0" fillId="4" borderId="3" xfId="0" applyFill="1" applyBorder="1" applyAlignment="1">
      <alignment horizontal="center"/>
    </xf>
    <xf numFmtId="0" fontId="0" fillId="4" borderId="0" xfId="0" applyFont="1" applyFill="1" applyBorder="1" applyAlignment="1">
      <alignment horizontal="center"/>
    </xf>
    <xf numFmtId="0" fontId="0" fillId="0" borderId="0" xfId="0" applyFont="1" applyBorder="1" applyAlignment="1"/>
    <xf numFmtId="0" fontId="9" fillId="3" borderId="3" xfId="0" applyFont="1" applyFill="1" applyBorder="1" applyAlignment="1">
      <alignment horizontal="center"/>
    </xf>
    <xf numFmtId="0" fontId="10" fillId="3" borderId="3" xfId="0" applyFont="1" applyFill="1" applyBorder="1" applyAlignment="1">
      <alignment horizontal="center"/>
    </xf>
    <xf numFmtId="0" fontId="11" fillId="3" borderId="5" xfId="0" applyFont="1" applyFill="1" applyBorder="1" applyAlignment="1">
      <alignment horizontal="center"/>
    </xf>
    <xf numFmtId="0" fontId="11" fillId="3" borderId="2" xfId="0" applyFont="1" applyFill="1" applyBorder="1" applyAlignment="1">
      <alignment horizontal="center"/>
    </xf>
    <xf numFmtId="0" fontId="11" fillId="3" borderId="4" xfId="0" applyFont="1" applyFill="1" applyBorder="1" applyAlignment="1">
      <alignment horizontal="center"/>
    </xf>
  </cellXfs>
  <cellStyles count="1">
    <cellStyle name="Normal" xfId="0" builtinId="0"/>
  </cellStyles>
  <dxfs count="63">
    <dxf>
      <fill>
        <patternFill patternType="solid">
          <fgColor rgb="FFB7E1CD"/>
          <bgColor rgb="FFB7E1CD"/>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[_PR. 2 Analyzer.xlsx]Pivote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Bar</a:t>
            </a:r>
            <a:r>
              <a:rPr lang="en-IN" baseline="0"/>
              <a:t> Chart Of Region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Table'!$B$3</c:f>
              <c:strCache>
                <c:ptCount val="1"/>
                <c:pt idx="0">
                  <c:v>Total</c:v>
                </c:pt>
              </c:strCache>
            </c:strRef>
          </c:tx>
          <c:spPr>
            <a:solidFill>
              <a:schemeClr val="accent1"/>
            </a:solidFill>
            <a:ln>
              <a:noFill/>
            </a:ln>
            <a:effectLst/>
          </c:spPr>
          <c:invertIfNegative val="0"/>
          <c:cat>
            <c:multiLvlStrRef>
              <c:f>'Pivote Table'!$A$4:$A$34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'Pivote Table'!$B$4:$B$34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0-8531-425C-891C-EAEE5C8F473D}"/>
            </c:ext>
          </c:extLst>
        </c:ser>
        <c:dLbls>
          <c:showLegendKey val="0"/>
          <c:showVal val="0"/>
          <c:showCatName val="0"/>
          <c:showSerName val="0"/>
          <c:showPercent val="0"/>
          <c:showBubbleSize val="0"/>
        </c:dLbls>
        <c:gapWidth val="219"/>
        <c:overlap val="-27"/>
        <c:axId val="1031347775"/>
        <c:axId val="1031346111"/>
      </c:barChart>
      <c:catAx>
        <c:axId val="103134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346111"/>
        <c:crosses val="autoZero"/>
        <c:auto val="1"/>
        <c:lblAlgn val="ctr"/>
        <c:lblOffset val="100"/>
        <c:noMultiLvlLbl val="0"/>
      </c:catAx>
      <c:valAx>
        <c:axId val="103134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34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[_PR. 2 Analyzer.xlsx]Pivote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a:t>
            </a:r>
            <a:r>
              <a:rPr lang="en-US" baseline="0"/>
              <a:t> Chart Of Region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'Pivote Table'!$A$4:$A$34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'Pivote Table'!$B$4:$B$34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smooth val="0"/>
          <c:extLst>
            <c:ext xmlns:c16="http://schemas.microsoft.com/office/drawing/2014/chart" uri="{C3380CC4-5D6E-409C-BE32-E72D297353CC}">
              <c16:uniqueId val="{00000000-65A5-4B42-A4D3-961363CF0D29}"/>
            </c:ext>
          </c:extLst>
        </c:ser>
        <c:dLbls>
          <c:showLegendKey val="0"/>
          <c:showVal val="0"/>
          <c:showCatName val="0"/>
          <c:showSerName val="0"/>
          <c:showPercent val="0"/>
          <c:showBubbleSize val="0"/>
        </c:dLbls>
        <c:marker val="1"/>
        <c:smooth val="0"/>
        <c:axId val="1264166575"/>
        <c:axId val="1264168239"/>
      </c:lineChart>
      <c:catAx>
        <c:axId val="1264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68239"/>
        <c:crosses val="autoZero"/>
        <c:auto val="1"/>
        <c:lblAlgn val="ctr"/>
        <c:lblOffset val="100"/>
        <c:noMultiLvlLbl val="0"/>
      </c:catAx>
      <c:valAx>
        <c:axId val="126416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16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[_PR. 2 Analyzer.xlsx]Pivote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a:t>
            </a:r>
            <a:r>
              <a:rPr lang="en-US" baseline="0"/>
              <a:t> Chart Of Region Sales</a:t>
            </a:r>
            <a:endParaRPr lang="en-US"/>
          </a:p>
        </c:rich>
      </c:tx>
      <c:layout>
        <c:manualLayout>
          <c:xMode val="edge"/>
          <c:yMode val="edge"/>
          <c:x val="0.4536111111111111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'Pivote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22-4E3E-9062-12E02DDA66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22-4E3E-9062-12E02DDA66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22-4E3E-9062-12E02DDA66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22-4E3E-9062-12E02DDA66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22-4E3E-9062-12E02DDA66F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F22-4E3E-9062-12E02DDA66F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F22-4E3E-9062-12E02DDA66F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22-4E3E-9062-12E02DDA66F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F22-4E3E-9062-12E02DDA66F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F22-4E3E-9062-12E02DDA66F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F22-4E3E-9062-12E02DDA66F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F22-4E3E-9062-12E02DDA66F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F22-4E3E-9062-12E02DDA66F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F22-4E3E-9062-12E02DDA66F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F22-4E3E-9062-12E02DDA66F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F22-4E3E-9062-12E02DDA66F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F22-4E3E-9062-12E02DDA66F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F22-4E3E-9062-12E02DDA66F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F22-4E3E-9062-12E02DDA66F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F22-4E3E-9062-12E02DDA66F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F22-4E3E-9062-12E02DDA66F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F22-4E3E-9062-12E02DDA66F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F22-4E3E-9062-12E02DDA66F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F22-4E3E-9062-12E02DDA66F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F22-4E3E-9062-12E02DDA66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'Pivote Table'!$A$4:$A$34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'Pivote Table'!$B$4:$B$34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32-0F22-4E3E-9062-12E02DDA66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15240</xdr:colOff>
      <xdr:row>15</xdr:row>
      <xdr:rowOff>0</xdr:rowOff>
    </xdr:to>
    <xdr:graphicFrame macro="">
      <xdr:nvGraphicFramePr>
        <xdr:cNvPr id="6" name="Chart 5">
          <a:extLst>
            <a:ext uri="{FF2B5EF4-FFF2-40B4-BE49-F238E27FC236}">
              <a16:creationId xmlns:a16="http://schemas.microsoft.com/office/drawing/2014/main" id="{123229E8-3594-4D9C-B878-134090A85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0</xdr:row>
      <xdr:rowOff>0</xdr:rowOff>
    </xdr:from>
    <xdr:to>
      <xdr:col>17</xdr:col>
      <xdr:colOff>15240</xdr:colOff>
      <xdr:row>15</xdr:row>
      <xdr:rowOff>0</xdr:rowOff>
    </xdr:to>
    <xdr:graphicFrame macro="">
      <xdr:nvGraphicFramePr>
        <xdr:cNvPr id="7" name="Chart 6">
          <a:extLst>
            <a:ext uri="{FF2B5EF4-FFF2-40B4-BE49-F238E27FC236}">
              <a16:creationId xmlns:a16="http://schemas.microsoft.com/office/drawing/2014/main" id="{1576C480-7440-4A17-A3AB-A53A4CD1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0</xdr:row>
      <xdr:rowOff>0</xdr:rowOff>
    </xdr:from>
    <xdr:to>
      <xdr:col>26</xdr:col>
      <xdr:colOff>7620</xdr:colOff>
      <xdr:row>15</xdr:row>
      <xdr:rowOff>0</xdr:rowOff>
    </xdr:to>
    <xdr:graphicFrame macro="">
      <xdr:nvGraphicFramePr>
        <xdr:cNvPr id="8" name="Chart 7">
          <a:extLst>
            <a:ext uri="{FF2B5EF4-FFF2-40B4-BE49-F238E27FC236}">
              <a16:creationId xmlns:a16="http://schemas.microsoft.com/office/drawing/2014/main" id="{F68D414F-310F-4E70-AC84-E05AE2ED2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sa patel" refreshedDate="46324.900968287038" createdVersion="7" refreshedVersion="7" minRefreshableVersion="3" recordCount="200" xr:uid="{8365AB6E-6A6A-4B0E-B185-733C13560473}">
  <cacheSource type="worksheet">
    <worksheetSource ref="A1:I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r>
  <r>
    <s v="CUST012"/>
    <s v="Robert Anderson"/>
    <x v="0"/>
    <x v="1"/>
    <n v="1101.28"/>
    <n v="3"/>
    <n v="0.2"/>
    <d v="2024-04-11T00:00:00"/>
    <n v="440.51"/>
  </r>
  <r>
    <s v="CUST017"/>
    <s v="James Taylor"/>
    <x v="1"/>
    <x v="0"/>
    <n v="713.34"/>
    <n v="17"/>
    <n v="0"/>
    <d v="2024-04-14T00:00:00"/>
    <n v="285.33999999999997"/>
  </r>
  <r>
    <s v="CUST005"/>
    <s v="Robert Anderson"/>
    <x v="2"/>
    <x v="2"/>
    <n v="760.93"/>
    <n v="4"/>
    <n v="0.15"/>
    <d v="2024-04-14T00:00:00"/>
    <n v="161.69999999999999"/>
  </r>
  <r>
    <s v="CUST030"/>
    <s v="James Wilson"/>
    <x v="3"/>
    <x v="0"/>
    <n v="847"/>
    <n v="12"/>
    <n v="0.2"/>
    <d v="2024-04-15T00:00:00"/>
    <n v="271.04000000000002"/>
  </r>
  <r>
    <s v="CUST007"/>
    <s v="Michael Anderson"/>
    <x v="3"/>
    <x v="3"/>
    <n v="965.64"/>
    <n v="8"/>
    <n v="0.1"/>
    <d v="2024-04-16T00:00:00"/>
    <n v="304.18"/>
  </r>
  <r>
    <s v="CUST001"/>
    <s v="Linda Wilson"/>
    <x v="0"/>
    <x v="2"/>
    <n v="1317.53"/>
    <n v="12"/>
    <n v="0.05"/>
    <d v="2024-04-16T00:00:00"/>
    <n v="312.91000000000003"/>
  </r>
  <r>
    <s v="CUST026"/>
    <s v="Mary Davis"/>
    <x v="1"/>
    <x v="3"/>
    <n v="1074.47"/>
    <n v="6"/>
    <n v="0.2"/>
    <d v="2024-04-19T00:00:00"/>
    <n v="300.85000000000002"/>
  </r>
  <r>
    <s v="CUST009"/>
    <s v="Linda Jackson"/>
    <x v="4"/>
    <x v="0"/>
    <n v="501.54"/>
    <n v="11"/>
    <n v="0.05"/>
    <d v="2024-04-19T00:00:00"/>
    <n v="190.59"/>
  </r>
  <r>
    <s v="CUST010"/>
    <s v="David Thomas"/>
    <x v="4"/>
    <x v="1"/>
    <n v="737.31"/>
    <n v="2"/>
    <n v="0.05"/>
    <d v="2024-04-19T00:00:00"/>
    <n v="350.22"/>
  </r>
  <r>
    <s v="CUST014"/>
    <s v="Emma Davis"/>
    <x v="0"/>
    <x v="4"/>
    <n v="1572.82"/>
    <n v="6"/>
    <n v="0.05"/>
    <d v="2024-04-20T00:00:00"/>
    <n v="672.38"/>
  </r>
  <r>
    <s v="CUST014"/>
    <s v="David Thomas"/>
    <x v="4"/>
    <x v="0"/>
    <n v="1343.13"/>
    <n v="14"/>
    <n v="0.15"/>
    <d v="2024-04-22T00:00:00"/>
    <n v="456.66"/>
  </r>
  <r>
    <s v="CUST007"/>
    <s v="Michael Anderson"/>
    <x v="4"/>
    <x v="0"/>
    <n v="1191.58"/>
    <n v="14"/>
    <n v="0.05"/>
    <d v="2024-04-24T00:00:00"/>
    <n v="452.8"/>
  </r>
  <r>
    <s v="CUST023"/>
    <s v="Robert Anderson"/>
    <x v="0"/>
    <x v="3"/>
    <n v="822.28"/>
    <n v="7"/>
    <n v="0.05"/>
    <d v="2024-04-24T00:00:00"/>
    <n v="273.41000000000003"/>
  </r>
  <r>
    <s v="CUST029"/>
    <s v="David Smith"/>
    <x v="3"/>
    <x v="3"/>
    <n v="521.66999999999996"/>
    <n v="15"/>
    <n v="0.15"/>
    <d v="2024-04-27T00:00:00"/>
    <n v="155.19999999999999"/>
  </r>
  <r>
    <s v="CUST005"/>
    <s v="Sarah Anderson"/>
    <x v="2"/>
    <x v="2"/>
    <n v="1502.93"/>
    <n v="14"/>
    <n v="0.2"/>
    <d v="2024-04-28T00:00:00"/>
    <n v="300.58999999999997"/>
  </r>
  <r>
    <s v="CUST008"/>
    <s v="Robert Anderson"/>
    <x v="2"/>
    <x v="0"/>
    <n v="877.58"/>
    <n v="10"/>
    <n v="0.15"/>
    <d v="2024-04-29T00:00:00"/>
    <n v="298.38"/>
  </r>
  <r>
    <s v="CUST001"/>
    <s v="Lisa Thomas"/>
    <x v="0"/>
    <x v="0"/>
    <n v="636.70000000000005"/>
    <n v="4"/>
    <n v="0.2"/>
    <d v="2024-04-29T00:00:00"/>
    <n v="203.74"/>
  </r>
  <r>
    <s v="CUST006"/>
    <s v="Mary Jackson"/>
    <x v="0"/>
    <x v="0"/>
    <n v="1506.14"/>
    <n v="13"/>
    <n v="0.2"/>
    <d v="2024-04-30T00:00:00"/>
    <n v="481.96"/>
  </r>
  <r>
    <s v="CUST026"/>
    <s v="Mary Davis"/>
    <x v="4"/>
    <x v="2"/>
    <n v="645.02"/>
    <n v="4"/>
    <n v="0"/>
    <d v="2024-05-02T00:00:00"/>
    <n v="161.26"/>
  </r>
  <r>
    <s v="CUST007"/>
    <s v="Lisa Davis"/>
    <x v="2"/>
    <x v="1"/>
    <n v="953.3"/>
    <n v="11"/>
    <n v="0"/>
    <d v="2024-05-03T00:00:00"/>
    <n v="476.65"/>
  </r>
  <r>
    <s v="CUST022"/>
    <s v="Robert Anderson"/>
    <x v="3"/>
    <x v="2"/>
    <n v="388.56"/>
    <n v="14"/>
    <n v="0.15"/>
    <d v="2024-05-04T00:00:00"/>
    <n v="82.57"/>
  </r>
  <r>
    <s v="CUST019"/>
    <s v="Mary Davis"/>
    <x v="0"/>
    <x v="0"/>
    <n v="743.17"/>
    <n v="9"/>
    <n v="0"/>
    <d v="2024-05-04T00:00:00"/>
    <n v="297.27"/>
  </r>
  <r>
    <s v="CUST023"/>
    <s v="Mary Davis"/>
    <x v="4"/>
    <x v="2"/>
    <n v="706.37"/>
    <n v="6"/>
    <n v="0"/>
    <d v="2024-05-04T00:00:00"/>
    <n v="176.59"/>
  </r>
  <r>
    <s v="CUST012"/>
    <s v="Mary Davis"/>
    <x v="4"/>
    <x v="4"/>
    <n v="925.31"/>
    <n v="8"/>
    <n v="0.1"/>
    <d v="2024-05-06T00:00:00"/>
    <n v="374.75"/>
  </r>
  <r>
    <s v="CUST010"/>
    <s v="Linda Brown"/>
    <x v="2"/>
    <x v="2"/>
    <n v="1173.1199999999999"/>
    <n v="18"/>
    <n v="0"/>
    <d v="2024-05-06T00:00:00"/>
    <n v="293.27999999999997"/>
  </r>
  <r>
    <s v="CUST030"/>
    <s v="John Brown"/>
    <x v="3"/>
    <x v="3"/>
    <n v="675.54"/>
    <n v="17"/>
    <n v="0"/>
    <d v="2024-05-08T00:00:00"/>
    <n v="236.44"/>
  </r>
  <r>
    <s v="CUST007"/>
    <s v="Robert Anderson"/>
    <x v="4"/>
    <x v="0"/>
    <n v="939.09"/>
    <n v="2"/>
    <n v="0.05"/>
    <d v="2024-05-10T00:00:00"/>
    <n v="356.85"/>
  </r>
  <r>
    <s v="CUST028"/>
    <s v="Linda Taylor"/>
    <x v="1"/>
    <x v="4"/>
    <n v="983.34"/>
    <n v="19"/>
    <n v="0.1"/>
    <d v="2024-05-14T00:00:00"/>
    <n v="398.25"/>
  </r>
  <r>
    <s v="CUST028"/>
    <s v="James Wilson"/>
    <x v="2"/>
    <x v="2"/>
    <n v="801.21"/>
    <n v="3"/>
    <n v="0.2"/>
    <d v="2024-05-14T00:00:00"/>
    <n v="160.24"/>
  </r>
  <r>
    <s v="CUST025"/>
    <s v="David Brown"/>
    <x v="3"/>
    <x v="2"/>
    <n v="1450.71"/>
    <n v="5"/>
    <n v="0.1"/>
    <d v="2024-05-15T00:00:00"/>
    <n v="326.41000000000003"/>
  </r>
  <r>
    <s v="CUST022"/>
    <s v="David Davis"/>
    <x v="4"/>
    <x v="0"/>
    <n v="1023.21"/>
    <n v="18"/>
    <n v="0.05"/>
    <d v="2024-05-16T00:00:00"/>
    <n v="388.82"/>
  </r>
  <r>
    <s v="CUST001"/>
    <s v="Mary Jackson"/>
    <x v="0"/>
    <x v="3"/>
    <n v="853.72"/>
    <n v="5"/>
    <n v="0.15"/>
    <d v="2024-05-16T00:00:00"/>
    <n v="253.98"/>
  </r>
  <r>
    <s v="CUST021"/>
    <s v="Sarah Anderson"/>
    <x v="2"/>
    <x v="2"/>
    <n v="967.89"/>
    <n v="10"/>
    <n v="0.1"/>
    <d v="2024-05-17T00:00:00"/>
    <n v="217.78"/>
  </r>
  <r>
    <s v="CUST015"/>
    <s v="Linda Taylor"/>
    <x v="3"/>
    <x v="4"/>
    <n v="1200.9000000000001"/>
    <n v="14"/>
    <n v="0.05"/>
    <d v="2024-05-17T00:00:00"/>
    <n v="513.38"/>
  </r>
  <r>
    <s v="CUST012"/>
    <s v="Michael Anderson"/>
    <x v="0"/>
    <x v="0"/>
    <n v="472.38"/>
    <n v="12"/>
    <n v="0.2"/>
    <d v="2024-05-17T00:00:00"/>
    <n v="151.16"/>
  </r>
  <r>
    <s v="CUST019"/>
    <s v="David Brown"/>
    <x v="1"/>
    <x v="4"/>
    <n v="840.92"/>
    <n v="9"/>
    <n v="0.05"/>
    <d v="2024-05-17T00:00:00"/>
    <n v="359.49"/>
  </r>
  <r>
    <s v="CUST028"/>
    <s v="Lisa Davis"/>
    <x v="4"/>
    <x v="3"/>
    <n v="1410.06"/>
    <n v="11"/>
    <n v="0.05"/>
    <d v="2024-05-22T00:00:00"/>
    <n v="468.84"/>
  </r>
  <r>
    <s v="CUST008"/>
    <s v="Mary Wilson"/>
    <x v="4"/>
    <x v="3"/>
    <n v="773.09"/>
    <n v="13"/>
    <n v="0.15"/>
    <d v="2024-05-22T00:00:00"/>
    <n v="229.99"/>
  </r>
  <r>
    <s v="CUST016"/>
    <s v="Emma Wilson"/>
    <x v="1"/>
    <x v="0"/>
    <n v="580.42999999999995"/>
    <n v="19"/>
    <n v="0.15"/>
    <d v="2024-05-23T00:00:00"/>
    <n v="197.35"/>
  </r>
  <r>
    <s v="CUST005"/>
    <s v="David Smith"/>
    <x v="2"/>
    <x v="0"/>
    <n v="1151.21"/>
    <n v="15"/>
    <n v="0.1"/>
    <d v="2024-06-02T00:00:00"/>
    <n v="414.44"/>
  </r>
  <r>
    <s v="CUST028"/>
    <s v="James Wilson"/>
    <x v="4"/>
    <x v="4"/>
    <n v="1025.98"/>
    <n v="5"/>
    <n v="0.2"/>
    <d v="2024-06-04T00:00:00"/>
    <n v="369.35"/>
  </r>
  <r>
    <s v="CUST023"/>
    <s v="David Davis"/>
    <x v="1"/>
    <x v="4"/>
    <n v="556.41999999999996"/>
    <n v="11"/>
    <n v="0.15"/>
    <d v="2024-06-04T00:00:00"/>
    <n v="212.83"/>
  </r>
  <r>
    <s v="CUST021"/>
    <s v="James Wilson"/>
    <x v="4"/>
    <x v="0"/>
    <n v="840.85"/>
    <n v="19"/>
    <n v="0.1"/>
    <d v="2024-06-05T00:00:00"/>
    <n v="302.70999999999998"/>
  </r>
  <r>
    <s v="CUST026"/>
    <s v="Emma Wilson"/>
    <x v="3"/>
    <x v="3"/>
    <n v="1227.25"/>
    <n v="12"/>
    <n v="0.15"/>
    <d v="2024-06-05T00:00:00"/>
    <n v="365.11"/>
  </r>
  <r>
    <s v="CUST017"/>
    <s v="Linda Davis"/>
    <x v="4"/>
    <x v="2"/>
    <n v="856.7"/>
    <n v="2"/>
    <n v="0"/>
    <d v="2024-06-06T00:00:00"/>
    <n v="214.18"/>
  </r>
  <r>
    <s v="CUST025"/>
    <s v="David Davis"/>
    <x v="4"/>
    <x v="4"/>
    <n v="1225.42"/>
    <n v="8"/>
    <n v="0.15"/>
    <d v="2024-06-06T00:00:00"/>
    <n v="468.72"/>
  </r>
  <r>
    <s v="CUST011"/>
    <s v="Mary Davis"/>
    <x v="3"/>
    <x v="4"/>
    <n v="1001.57"/>
    <n v="12"/>
    <n v="0"/>
    <d v="2024-06-07T00:00:00"/>
    <n v="450.71"/>
  </r>
  <r>
    <s v="CUST021"/>
    <s v="Michael Anderson"/>
    <x v="1"/>
    <x v="3"/>
    <n v="1186.8499999999999"/>
    <n v="19"/>
    <n v="0.2"/>
    <d v="2024-06-08T00:00:00"/>
    <n v="332.32"/>
  </r>
  <r>
    <s v="CUST008"/>
    <s v="John Brown"/>
    <x v="2"/>
    <x v="2"/>
    <n v="775.45"/>
    <n v="6"/>
    <n v="0.1"/>
    <d v="2024-06-14T00:00:00"/>
    <n v="174.48"/>
  </r>
  <r>
    <s v="CUST007"/>
    <s v="Linda Jackson"/>
    <x v="2"/>
    <x v="2"/>
    <n v="1021.47"/>
    <n v="6"/>
    <n v="0.05"/>
    <d v="2024-06-18T00:00:00"/>
    <n v="242.6"/>
  </r>
  <r>
    <s v="CUST015"/>
    <s v="James Wilson"/>
    <x v="2"/>
    <x v="1"/>
    <n v="1226.6199999999999"/>
    <n v="7"/>
    <n v="0.1"/>
    <d v="2024-06-20T00:00:00"/>
    <n v="551.98"/>
  </r>
  <r>
    <s v="CUST030"/>
    <s v="Sarah Davis"/>
    <x v="2"/>
    <x v="3"/>
    <n v="1086.93"/>
    <n v="2"/>
    <n v="0"/>
    <d v="2024-06-21T00:00:00"/>
    <n v="380.43"/>
  </r>
  <r>
    <s v="CUST002"/>
    <s v="Lisa Davis"/>
    <x v="0"/>
    <x v="0"/>
    <n v="942.9"/>
    <n v="18"/>
    <n v="0.1"/>
    <d v="2024-06-23T00:00:00"/>
    <n v="339.44"/>
  </r>
  <r>
    <s v="CUST009"/>
    <s v="Emma Davis"/>
    <x v="3"/>
    <x v="2"/>
    <n v="818.8"/>
    <n v="15"/>
    <n v="0.15"/>
    <d v="2024-06-25T00:00:00"/>
    <n v="173.99"/>
  </r>
  <r>
    <s v="CUST005"/>
    <s v="Robert Anderson"/>
    <x v="2"/>
    <x v="3"/>
    <n v="919.04"/>
    <n v="10"/>
    <n v="0.2"/>
    <d v="2024-06-25T00:00:00"/>
    <n v="257.33"/>
  </r>
  <r>
    <s v="CUST030"/>
    <s v="Emma Taylor"/>
    <x v="4"/>
    <x v="0"/>
    <n v="973.26"/>
    <n v="11"/>
    <n v="0"/>
    <d v="2024-06-27T00:00:00"/>
    <n v="389.3"/>
  </r>
  <r>
    <s v="CUST029"/>
    <s v="Sarah Davis"/>
    <x v="3"/>
    <x v="2"/>
    <n v="741.61"/>
    <n v="1"/>
    <n v="0.2"/>
    <d v="2024-06-28T00:00:00"/>
    <n v="148.32"/>
  </r>
  <r>
    <s v="CUST003"/>
    <s v="Emma Davis"/>
    <x v="3"/>
    <x v="0"/>
    <n v="1248.82"/>
    <n v="2"/>
    <n v="0.1"/>
    <d v="2024-06-30T00:00:00"/>
    <n v="449.58"/>
  </r>
  <r>
    <s v="CUST012"/>
    <s v="Mary Wilson"/>
    <x v="0"/>
    <x v="1"/>
    <n v="1360.36"/>
    <n v="17"/>
    <n v="0"/>
    <d v="2024-06-30T00:00:00"/>
    <n v="680.18"/>
  </r>
  <r>
    <s v="CUST021"/>
    <s v="Mary Davis"/>
    <x v="1"/>
    <x v="0"/>
    <n v="1383.3"/>
    <n v="8"/>
    <n v="0.1"/>
    <d v="2024-07-05T00:00:00"/>
    <n v="497.99"/>
  </r>
  <r>
    <s v="CUST010"/>
    <s v="David Brown"/>
    <x v="4"/>
    <x v="4"/>
    <n v="488.99"/>
    <n v="9"/>
    <n v="0"/>
    <d v="2024-07-06T00:00:00"/>
    <n v="220.05"/>
  </r>
  <r>
    <s v="CUST026"/>
    <s v="Mary Davis"/>
    <x v="1"/>
    <x v="3"/>
    <n v="933.71"/>
    <n v="17"/>
    <n v="0.1"/>
    <d v="2024-07-08T00:00:00"/>
    <n v="294.12"/>
  </r>
  <r>
    <s v="CUST003"/>
    <s v="James Davis"/>
    <x v="0"/>
    <x v="2"/>
    <n v="1005.53"/>
    <n v="17"/>
    <n v="0.2"/>
    <d v="2024-07-08T00:00:00"/>
    <n v="201.11"/>
  </r>
  <r>
    <s v="CUST029"/>
    <s v="Emma Wilson"/>
    <x v="2"/>
    <x v="2"/>
    <n v="1100.0999999999999"/>
    <n v="5"/>
    <n v="0.05"/>
    <d v="2024-07-09T00:00:00"/>
    <n v="261.27"/>
  </r>
  <r>
    <s v="CUST003"/>
    <s v="James Wilson"/>
    <x v="3"/>
    <x v="3"/>
    <n v="1034.7"/>
    <n v="15"/>
    <n v="0.15"/>
    <d v="2024-07-14T00:00:00"/>
    <n v="307.82"/>
  </r>
  <r>
    <s v="CUST002"/>
    <s v="Mary Davis"/>
    <x v="2"/>
    <x v="0"/>
    <n v="876.44"/>
    <n v="12"/>
    <n v="0.05"/>
    <d v="2024-07-15T00:00:00"/>
    <n v="333.05"/>
  </r>
  <r>
    <s v="CUST020"/>
    <s v="David Brown"/>
    <x v="0"/>
    <x v="3"/>
    <n v="1371.34"/>
    <n v="5"/>
    <n v="0.05"/>
    <d v="2024-07-15T00:00:00"/>
    <n v="455.97"/>
  </r>
  <r>
    <s v="CUST021"/>
    <s v="Mary Jackson"/>
    <x v="3"/>
    <x v="2"/>
    <n v="1020.26"/>
    <n v="11"/>
    <n v="0.05"/>
    <d v="2024-07-21T00:00:00"/>
    <n v="242.31"/>
  </r>
  <r>
    <s v="CUST008"/>
    <s v="James Davis"/>
    <x v="4"/>
    <x v="4"/>
    <n v="804.81"/>
    <n v="1"/>
    <n v="0.05"/>
    <d v="2024-07-29T00:00:00"/>
    <n v="344.06"/>
  </r>
  <r>
    <s v="CUST030"/>
    <s v="David Brown"/>
    <x v="4"/>
    <x v="2"/>
    <n v="608.66"/>
    <n v="1"/>
    <n v="0.05"/>
    <d v="2024-07-30T00:00:00"/>
    <n v="144.56"/>
  </r>
  <r>
    <s v="CUST020"/>
    <s v="Linda Moore"/>
    <x v="2"/>
    <x v="4"/>
    <n v="981.2"/>
    <n v="19"/>
    <n v="0"/>
    <d v="2024-07-31T00:00:00"/>
    <n v="441.54"/>
  </r>
  <r>
    <s v="CUST024"/>
    <s v="David Brown"/>
    <x v="1"/>
    <x v="2"/>
    <n v="539.77"/>
    <n v="10"/>
    <n v="0.15"/>
    <d v="2024-08-05T00:00:00"/>
    <n v="114.7"/>
  </r>
  <r>
    <s v="CUST012"/>
    <s v="David Anderson"/>
    <x v="2"/>
    <x v="0"/>
    <n v="804.45"/>
    <n v="5"/>
    <n v="0.2"/>
    <d v="2024-08-05T00:00:00"/>
    <n v="257.42"/>
  </r>
  <r>
    <s v="CUST024"/>
    <s v="Emma Davis"/>
    <x v="0"/>
    <x v="2"/>
    <n v="1526.6"/>
    <n v="13"/>
    <n v="0.2"/>
    <d v="2024-08-08T00:00:00"/>
    <n v="305.32"/>
  </r>
  <r>
    <s v="CUST012"/>
    <s v="Linda Wilson"/>
    <x v="0"/>
    <x v="2"/>
    <n v="1215.26"/>
    <n v="5"/>
    <n v="0.15"/>
    <d v="2024-08-09T00:00:00"/>
    <n v="258.24"/>
  </r>
  <r>
    <s v="CUST005"/>
    <s v="Linda Taylor"/>
    <x v="4"/>
    <x v="3"/>
    <n v="1261.3399999999999"/>
    <n v="3"/>
    <n v="0"/>
    <d v="2024-08-15T00:00:00"/>
    <n v="441.47"/>
  </r>
  <r>
    <s v="CUST004"/>
    <s v="Lisa Thomas"/>
    <x v="3"/>
    <x v="3"/>
    <n v="518.07000000000005"/>
    <n v="7"/>
    <n v="0.05"/>
    <d v="2024-08-18T00:00:00"/>
    <n v="172.26"/>
  </r>
  <r>
    <s v="CUST026"/>
    <s v="Linda Wilson"/>
    <x v="0"/>
    <x v="4"/>
    <n v="1111.3399999999999"/>
    <n v="1"/>
    <n v="0"/>
    <d v="2024-08-19T00:00:00"/>
    <n v="500.1"/>
  </r>
  <r>
    <s v="CUST030"/>
    <s v="Mary Davis"/>
    <x v="1"/>
    <x v="1"/>
    <n v="1291.47"/>
    <n v="18"/>
    <n v="0.1"/>
    <d v="2024-08-22T00:00:00"/>
    <n v="581.16"/>
  </r>
  <r>
    <s v="CUST007"/>
    <s v="David Brown"/>
    <x v="3"/>
    <x v="0"/>
    <n v="679.71"/>
    <n v="19"/>
    <n v="0"/>
    <d v="2024-08-30T00:00:00"/>
    <n v="271.88"/>
  </r>
  <r>
    <s v="CUST020"/>
    <s v="Linda Jackson"/>
    <x v="1"/>
    <x v="3"/>
    <n v="1143.69"/>
    <n v="17"/>
    <n v="0"/>
    <d v="2024-08-30T00:00:00"/>
    <n v="400.29"/>
  </r>
  <r>
    <s v="CUST028"/>
    <s v="Linda Brown"/>
    <x v="4"/>
    <x v="2"/>
    <n v="790.08"/>
    <n v="7"/>
    <n v="0.1"/>
    <d v="2024-09-01T00:00:00"/>
    <n v="177.77"/>
  </r>
  <r>
    <s v="CUST005"/>
    <s v="Lisa Davis"/>
    <x v="4"/>
    <x v="0"/>
    <n v="1070.68"/>
    <n v="7"/>
    <n v="0.05"/>
    <d v="2024-09-01T00:00:00"/>
    <n v="406.86"/>
  </r>
  <r>
    <s v="CUST015"/>
    <s v="David Thomas"/>
    <x v="0"/>
    <x v="1"/>
    <n v="1168.8900000000001"/>
    <n v="4"/>
    <n v="0.1"/>
    <d v="2024-09-09T00:00:00"/>
    <n v="526"/>
  </r>
  <r>
    <s v="CUST003"/>
    <s v="James Davis"/>
    <x v="2"/>
    <x v="2"/>
    <n v="1335.87"/>
    <n v="17"/>
    <n v="0"/>
    <d v="2024-09-09T00:00:00"/>
    <n v="333.97"/>
  </r>
  <r>
    <s v="CUST023"/>
    <s v="David Brown"/>
    <x v="1"/>
    <x v="3"/>
    <n v="873.7"/>
    <n v="9"/>
    <n v="0"/>
    <d v="2024-09-11T00:00:00"/>
    <n v="305.8"/>
  </r>
  <r>
    <s v="CUST004"/>
    <s v="Sarah Davis"/>
    <x v="0"/>
    <x v="4"/>
    <n v="1443.98"/>
    <n v="19"/>
    <n v="0"/>
    <d v="2024-09-12T00:00:00"/>
    <n v="649.79"/>
  </r>
  <r>
    <s v="CUST023"/>
    <s v="James Wilson"/>
    <x v="1"/>
    <x v="4"/>
    <n v="1154.33"/>
    <n v="11"/>
    <n v="0.15"/>
    <d v="2024-09-14T00:00:00"/>
    <n v="441.53"/>
  </r>
  <r>
    <s v="CUST022"/>
    <s v="Linda Brown"/>
    <x v="2"/>
    <x v="0"/>
    <n v="1264.49"/>
    <n v="16"/>
    <n v="0.05"/>
    <d v="2024-09-14T00:00:00"/>
    <n v="480.51"/>
  </r>
  <r>
    <s v="CUST007"/>
    <s v="Emma Taylor"/>
    <x v="0"/>
    <x v="3"/>
    <n v="1101.55"/>
    <n v="4"/>
    <n v="0.1"/>
    <d v="2024-09-16T00:00:00"/>
    <n v="346.99"/>
  </r>
  <r>
    <s v="CUST013"/>
    <s v="Robert Anderson"/>
    <x v="2"/>
    <x v="3"/>
    <n v="727.73"/>
    <n v="1"/>
    <n v="0.1"/>
    <d v="2024-09-17T00:00:00"/>
    <n v="229.23"/>
  </r>
  <r>
    <s v="CUST027"/>
    <s v="Emma Davis"/>
    <x v="1"/>
    <x v="4"/>
    <n v="875.41"/>
    <n v="13"/>
    <n v="0.15"/>
    <d v="2024-09-17T00:00:00"/>
    <n v="334.84"/>
  </r>
  <r>
    <s v="CUST003"/>
    <s v="James Wilson"/>
    <x v="0"/>
    <x v="2"/>
    <n v="1158.94"/>
    <n v="19"/>
    <n v="0.2"/>
    <d v="2024-09-18T00:00:00"/>
    <n v="231.79"/>
  </r>
  <r>
    <s v="CUST018"/>
    <s v="Mary Jackson"/>
    <x v="2"/>
    <x v="0"/>
    <n v="966.3"/>
    <n v="2"/>
    <n v="0.15"/>
    <d v="2024-09-22T00:00:00"/>
    <n v="328.54"/>
  </r>
  <r>
    <s v="CUST020"/>
    <s v="James Taylor"/>
    <x v="2"/>
    <x v="0"/>
    <n v="917.48"/>
    <n v="6"/>
    <n v="0"/>
    <d v="2024-09-23T00:00:00"/>
    <n v="366.99"/>
  </r>
  <r>
    <s v="CUST029"/>
    <s v="Emma Wilson"/>
    <x v="0"/>
    <x v="3"/>
    <n v="1172.97"/>
    <n v="7"/>
    <n v="0.15"/>
    <d v="2024-09-24T00:00:00"/>
    <n v="348.96"/>
  </r>
  <r>
    <s v="CUST021"/>
    <s v="James Wilson"/>
    <x v="3"/>
    <x v="1"/>
    <n v="1205.82"/>
    <n v="11"/>
    <n v="0.1"/>
    <d v="2024-09-24T00:00:00"/>
    <n v="542.62"/>
  </r>
  <r>
    <s v="CUST017"/>
    <s v="Sarah Davis"/>
    <x v="0"/>
    <x v="4"/>
    <n v="826.93"/>
    <n v="10"/>
    <n v="0.2"/>
    <d v="2024-09-29T00:00:00"/>
    <n v="297.69"/>
  </r>
  <r>
    <s v="CUST003"/>
    <s v="James Wilson"/>
    <x v="4"/>
    <x v="1"/>
    <n v="902.19"/>
    <n v="12"/>
    <n v="0"/>
    <d v="2024-09-29T00:00:00"/>
    <n v="451.1"/>
  </r>
  <r>
    <s v="CUST027"/>
    <s v="Emma Davis"/>
    <x v="3"/>
    <x v="0"/>
    <n v="585.97"/>
    <n v="17"/>
    <n v="0.1"/>
    <d v="2024-09-30T00:00:00"/>
    <n v="210.95"/>
  </r>
  <r>
    <s v="CUST016"/>
    <s v="Michael Anderson"/>
    <x v="3"/>
    <x v="1"/>
    <n v="990.19"/>
    <n v="8"/>
    <n v="0.1"/>
    <d v="2024-09-30T00:00:00"/>
    <n v="445.59"/>
  </r>
  <r>
    <s v="CUST008"/>
    <s v="David Davis"/>
    <x v="4"/>
    <x v="2"/>
    <n v="1014.09"/>
    <n v="13"/>
    <n v="0.2"/>
    <d v="2024-10-02T00:00:00"/>
    <n v="202.82"/>
  </r>
  <r>
    <s v="CUST012"/>
    <s v="Lisa Davis"/>
    <x v="3"/>
    <x v="2"/>
    <n v="925.29"/>
    <n v="17"/>
    <n v="0"/>
    <d v="2024-10-05T00:00:00"/>
    <n v="231.32"/>
  </r>
  <r>
    <s v="CUST025"/>
    <s v="Mary Jackson"/>
    <x v="1"/>
    <x v="3"/>
    <n v="1286.54"/>
    <n v="8"/>
    <n v="0"/>
    <d v="2024-10-10T00:00:00"/>
    <n v="450.29"/>
  </r>
  <r>
    <s v="CUST014"/>
    <s v="Sarah Davis"/>
    <x v="2"/>
    <x v="0"/>
    <n v="961.62"/>
    <n v="8"/>
    <n v="0.2"/>
    <d v="2024-10-12T00:00:00"/>
    <n v="307.72000000000003"/>
  </r>
  <r>
    <s v="CUST008"/>
    <s v="James Wilson"/>
    <x v="1"/>
    <x v="0"/>
    <n v="1081.1400000000001"/>
    <n v="19"/>
    <n v="0.15"/>
    <d v="2024-10-12T00:00:00"/>
    <n v="367.59"/>
  </r>
  <r>
    <s v="CUST015"/>
    <s v="James Wilson"/>
    <x v="0"/>
    <x v="1"/>
    <n v="1923.66"/>
    <n v="9"/>
    <n v="0.2"/>
    <d v="2024-10-15T00:00:00"/>
    <n v="769.46"/>
  </r>
  <r>
    <s v="CUST025"/>
    <s v="Emma Taylor"/>
    <x v="4"/>
    <x v="1"/>
    <n v="728.71"/>
    <n v="14"/>
    <n v="0.1"/>
    <d v="2024-10-16T00:00:00"/>
    <n v="327.92"/>
  </r>
  <r>
    <s v="CUST019"/>
    <s v="Linda Jackson"/>
    <x v="4"/>
    <x v="1"/>
    <n v="1301.8900000000001"/>
    <n v="7"/>
    <n v="0.15"/>
    <d v="2024-10-16T00:00:00"/>
    <n v="553.29999999999995"/>
  </r>
  <r>
    <s v="CUST024"/>
    <s v="Emma Taylor"/>
    <x v="1"/>
    <x v="0"/>
    <n v="980.18"/>
    <n v="16"/>
    <n v="0.1"/>
    <d v="2024-10-17T00:00:00"/>
    <n v="352.86"/>
  </r>
  <r>
    <s v="CUST027"/>
    <s v="James Wilson"/>
    <x v="0"/>
    <x v="1"/>
    <n v="697.57"/>
    <n v="17"/>
    <n v="0.1"/>
    <d v="2024-10-19T00:00:00"/>
    <n v="313.91000000000003"/>
  </r>
  <r>
    <s v="CUST006"/>
    <s v="David Anderson"/>
    <x v="0"/>
    <x v="3"/>
    <n v="1193.6099999999999"/>
    <n v="1"/>
    <n v="0.15"/>
    <d v="2024-10-19T00:00:00"/>
    <n v="355.1"/>
  </r>
  <r>
    <s v="CUST009"/>
    <s v="Emma Davis"/>
    <x v="2"/>
    <x v="2"/>
    <n v="771.02"/>
    <n v="1"/>
    <n v="0"/>
    <d v="2024-10-20T00:00:00"/>
    <n v="192.76"/>
  </r>
  <r>
    <s v="CUST003"/>
    <s v="Linda Moore"/>
    <x v="3"/>
    <x v="1"/>
    <n v="661.09"/>
    <n v="1"/>
    <n v="0.2"/>
    <d v="2024-10-28T00:00:00"/>
    <n v="264.44"/>
  </r>
  <r>
    <s v="CUST012"/>
    <s v="David Brown"/>
    <x v="0"/>
    <x v="2"/>
    <n v="688.83"/>
    <n v="15"/>
    <n v="0"/>
    <d v="2024-10-30T00:00:00"/>
    <n v="172.21"/>
  </r>
  <r>
    <s v="CUST013"/>
    <s v="Linda Wilson"/>
    <x v="4"/>
    <x v="0"/>
    <n v="1249.0999999999999"/>
    <n v="4"/>
    <n v="0.05"/>
    <d v="2024-11-01T00:00:00"/>
    <n v="474.66"/>
  </r>
  <r>
    <s v="CUST008"/>
    <s v="James Wilson"/>
    <x v="1"/>
    <x v="4"/>
    <n v="1014.22"/>
    <n v="14"/>
    <n v="0.05"/>
    <d v="2024-11-03T00:00:00"/>
    <n v="433.58"/>
  </r>
  <r>
    <s v="CUST025"/>
    <s v="Lisa Davis"/>
    <x v="1"/>
    <x v="0"/>
    <n v="1010.58"/>
    <n v="2"/>
    <n v="0.15"/>
    <d v="2024-11-09T00:00:00"/>
    <n v="343.6"/>
  </r>
  <r>
    <s v="CUST026"/>
    <s v="Mary Wilson"/>
    <x v="3"/>
    <x v="3"/>
    <n v="957.29"/>
    <n v="4"/>
    <n v="0.05"/>
    <d v="2024-11-09T00:00:00"/>
    <n v="318.3"/>
  </r>
  <r>
    <s v="CUST001"/>
    <s v="Lisa Thomas"/>
    <x v="3"/>
    <x v="3"/>
    <n v="1077.92"/>
    <n v="3"/>
    <n v="0.05"/>
    <d v="2024-11-12T00:00:00"/>
    <n v="358.41"/>
  </r>
  <r>
    <s v="CUST028"/>
    <s v="Linda Brown"/>
    <x v="2"/>
    <x v="1"/>
    <n v="1163.01"/>
    <n v="5"/>
    <n v="0"/>
    <d v="2024-11-15T00:00:00"/>
    <n v="581.5"/>
  </r>
  <r>
    <s v="CUST025"/>
    <s v="Lisa Thomas"/>
    <x v="1"/>
    <x v="4"/>
    <n v="1014.56"/>
    <n v="10"/>
    <n v="0.1"/>
    <d v="2024-11-16T00:00:00"/>
    <n v="410.9"/>
  </r>
  <r>
    <s v="CUST019"/>
    <s v="James Taylor"/>
    <x v="2"/>
    <x v="2"/>
    <n v="718.04"/>
    <n v="14"/>
    <n v="0"/>
    <d v="2024-11-17T00:00:00"/>
    <n v="179.51"/>
  </r>
  <r>
    <s v="CUST004"/>
    <s v="James Taylor"/>
    <x v="4"/>
    <x v="1"/>
    <n v="1277.8499999999999"/>
    <n v="18"/>
    <n v="0.2"/>
    <d v="2024-11-17T00:00:00"/>
    <n v="511.14"/>
  </r>
  <r>
    <s v="CUST024"/>
    <s v="James Wilson"/>
    <x v="3"/>
    <x v="2"/>
    <n v="706.73"/>
    <n v="1"/>
    <n v="0.15"/>
    <d v="2024-11-17T00:00:00"/>
    <n v="150.18"/>
  </r>
  <r>
    <s v="CUST002"/>
    <s v="Linda Brown"/>
    <x v="1"/>
    <x v="2"/>
    <n v="1410.59"/>
    <n v="15"/>
    <n v="0"/>
    <d v="2024-11-19T00:00:00"/>
    <n v="352.65"/>
  </r>
  <r>
    <s v="CUST009"/>
    <s v="Emma Wilson"/>
    <x v="2"/>
    <x v="3"/>
    <n v="1350.33"/>
    <n v="10"/>
    <n v="0"/>
    <d v="2024-11-19T00:00:00"/>
    <n v="472.62"/>
  </r>
  <r>
    <s v="CUST029"/>
    <s v="Lisa Thomas"/>
    <x v="1"/>
    <x v="2"/>
    <n v="919.18"/>
    <n v="4"/>
    <n v="0.15"/>
    <d v="2024-11-19T00:00:00"/>
    <n v="195.33"/>
  </r>
  <r>
    <s v="CUST027"/>
    <s v="James Wilson"/>
    <x v="0"/>
    <x v="2"/>
    <n v="258.51"/>
    <n v="19"/>
    <n v="0"/>
    <d v="2024-11-20T00:00:00"/>
    <n v="64.63"/>
  </r>
  <r>
    <s v="CUST011"/>
    <s v="Emma Wilson"/>
    <x v="1"/>
    <x v="0"/>
    <n v="1213.48"/>
    <n v="5"/>
    <n v="0.05"/>
    <d v="2024-11-20T00:00:00"/>
    <n v="461.12"/>
  </r>
  <r>
    <s v="CUST021"/>
    <s v="Emma Davis"/>
    <x v="4"/>
    <x v="0"/>
    <n v="1150.28"/>
    <n v="8"/>
    <n v="0.05"/>
    <d v="2024-11-26T00:00:00"/>
    <n v="437.11"/>
  </r>
  <r>
    <s v="CUST014"/>
    <s v="David Anderson"/>
    <x v="2"/>
    <x v="3"/>
    <n v="853.86"/>
    <n v="8"/>
    <n v="0.1"/>
    <d v="2024-11-26T00:00:00"/>
    <n v="268.97000000000003"/>
  </r>
  <r>
    <s v="CUST018"/>
    <s v="Lisa Thomas"/>
    <x v="2"/>
    <x v="2"/>
    <n v="1061.04"/>
    <n v="1"/>
    <n v="0"/>
    <d v="2024-11-28T00:00:00"/>
    <n v="265.26"/>
  </r>
  <r>
    <s v="CUST001"/>
    <s v="Sarah Anderson"/>
    <x v="0"/>
    <x v="2"/>
    <n v="894.55"/>
    <n v="19"/>
    <n v="0.2"/>
    <d v="2024-11-29T00:00:00"/>
    <n v="178.91"/>
  </r>
  <r>
    <s v="CUST007"/>
    <s v="Emma Davis"/>
    <x v="3"/>
    <x v="4"/>
    <n v="833.91"/>
    <n v="3"/>
    <n v="0.05"/>
    <d v="2024-11-30T00:00:00"/>
    <n v="356.5"/>
  </r>
  <r>
    <s v="CUST015"/>
    <s v="David Anderson"/>
    <x v="0"/>
    <x v="3"/>
    <n v="820.19"/>
    <n v="4"/>
    <n v="0.2"/>
    <d v="2024-12-04T00:00:00"/>
    <n v="229.65"/>
  </r>
  <r>
    <s v="CUST015"/>
    <s v="Emma Davis"/>
    <x v="4"/>
    <x v="2"/>
    <n v="511.74"/>
    <n v="8"/>
    <n v="0.05"/>
    <d v="2024-12-05T00:00:00"/>
    <n v="121.54"/>
  </r>
  <r>
    <s v="CUST002"/>
    <s v="Emma Wilson"/>
    <x v="2"/>
    <x v="3"/>
    <n v="806.03"/>
    <n v="19"/>
    <n v="0.05"/>
    <d v="2024-12-12T00:00:00"/>
    <n v="268"/>
  </r>
  <r>
    <s v="CUST001"/>
    <s v="Michael Anderson"/>
    <x v="4"/>
    <x v="3"/>
    <n v="1432.47"/>
    <n v="16"/>
    <n v="0.15"/>
    <d v="2024-12-14T00:00:00"/>
    <n v="426.16"/>
  </r>
  <r>
    <s v="CUST027"/>
    <s v="Linda Wilson"/>
    <x v="4"/>
    <x v="2"/>
    <n v="1488.58"/>
    <n v="10"/>
    <n v="0.15"/>
    <d v="2024-12-14T00:00:00"/>
    <n v="316.32"/>
  </r>
  <r>
    <s v="CUST026"/>
    <s v="Emma Taylor"/>
    <x v="1"/>
    <x v="0"/>
    <n v="1231.26"/>
    <n v="9"/>
    <n v="0"/>
    <d v="2024-12-20T00:00:00"/>
    <n v="492.5"/>
  </r>
  <r>
    <s v="CUST026"/>
    <s v="Sarah Anderson"/>
    <x v="0"/>
    <x v="2"/>
    <n v="1161.67"/>
    <n v="19"/>
    <n v="0.2"/>
    <d v="2024-12-21T00:00:00"/>
    <n v="232.33"/>
  </r>
  <r>
    <s v="CUST022"/>
    <s v="Lisa Thomas"/>
    <x v="4"/>
    <x v="4"/>
    <n v="388.23"/>
    <n v="16"/>
    <n v="0.05"/>
    <d v="2024-12-24T00:00:00"/>
    <n v="165.97"/>
  </r>
  <r>
    <s v="CUST004"/>
    <s v="Mary Davis"/>
    <x v="3"/>
    <x v="1"/>
    <n v="1589.42"/>
    <n v="6"/>
    <n v="0.15"/>
    <d v="2024-12-25T00:00:00"/>
    <n v="675.5"/>
  </r>
  <r>
    <s v="CUST001"/>
    <s v="David Anderson"/>
    <x v="3"/>
    <x v="1"/>
    <n v="336.66"/>
    <n v="13"/>
    <n v="0.2"/>
    <d v="2024-12-25T00:00:00"/>
    <n v="134.66"/>
  </r>
  <r>
    <s v="CUST022"/>
    <s v="James Wilson"/>
    <x v="0"/>
    <x v="0"/>
    <n v="1353.79"/>
    <n v="14"/>
    <n v="0.1"/>
    <d v="2024-12-30T00:00:00"/>
    <n v="487.36"/>
  </r>
  <r>
    <s v="CUST011"/>
    <s v="Linda Moore"/>
    <x v="4"/>
    <x v="1"/>
    <n v="662.61"/>
    <n v="11"/>
    <n v="0.05"/>
    <d v="2025-01-01T00:00:00"/>
    <n v="314.74"/>
  </r>
  <r>
    <s v="CUST028"/>
    <s v="Lisa Davis"/>
    <x v="3"/>
    <x v="4"/>
    <n v="309.42"/>
    <n v="1"/>
    <n v="0.2"/>
    <d v="2025-01-01T00:00:00"/>
    <n v="111.39"/>
  </r>
  <r>
    <s v="CUST011"/>
    <s v="Linda Wilson"/>
    <x v="3"/>
    <x v="0"/>
    <n v="884.63"/>
    <n v="18"/>
    <n v="0.1"/>
    <d v="2025-01-02T00:00:00"/>
    <n v="318.47000000000003"/>
  </r>
  <r>
    <s v="CUST028"/>
    <s v="James Wilson"/>
    <x v="4"/>
    <x v="4"/>
    <n v="745.05"/>
    <n v="10"/>
    <n v="0.1"/>
    <d v="2025-01-03T00:00:00"/>
    <n v="301.75"/>
  </r>
  <r>
    <s v="CUST016"/>
    <s v="James Taylor"/>
    <x v="2"/>
    <x v="1"/>
    <n v="870.23"/>
    <n v="5"/>
    <n v="0.05"/>
    <d v="2025-01-03T00:00:00"/>
    <n v="413.36"/>
  </r>
  <r>
    <s v="CUST010"/>
    <s v="Linda Wilson"/>
    <x v="0"/>
    <x v="3"/>
    <n v="862.19"/>
    <n v="18"/>
    <n v="0.05"/>
    <d v="2025-01-06T00:00:00"/>
    <n v="286.68"/>
  </r>
  <r>
    <s v="CUST013"/>
    <s v="Mary Wilson"/>
    <x v="3"/>
    <x v="1"/>
    <n v="1171.18"/>
    <n v="19"/>
    <n v="0.05"/>
    <d v="2025-01-10T00:00:00"/>
    <n v="556.30999999999995"/>
  </r>
  <r>
    <s v="CUST015"/>
    <s v="Robert Anderson"/>
    <x v="2"/>
    <x v="3"/>
    <n v="1054.56"/>
    <n v="11"/>
    <n v="0.1"/>
    <d v="2025-01-12T00:00:00"/>
    <n v="332.19"/>
  </r>
  <r>
    <s v="CUST015"/>
    <s v="James Wilson"/>
    <x v="3"/>
    <x v="2"/>
    <n v="1681.21"/>
    <n v="5"/>
    <n v="0.2"/>
    <d v="2025-01-13T00:00:00"/>
    <n v="336.24"/>
  </r>
  <r>
    <s v="CUST015"/>
    <s v="David Thomas"/>
    <x v="0"/>
    <x v="1"/>
    <n v="379.77"/>
    <n v="9"/>
    <n v="0.05"/>
    <d v="2025-01-16T00:00:00"/>
    <n v="180.39"/>
  </r>
  <r>
    <s v="CUST008"/>
    <s v="Lisa Thomas"/>
    <x v="4"/>
    <x v="1"/>
    <n v="1076.33"/>
    <n v="2"/>
    <n v="0.1"/>
    <d v="2025-01-17T00:00:00"/>
    <n v="484.35"/>
  </r>
  <r>
    <s v="CUST008"/>
    <s v="Mary Davis"/>
    <x v="4"/>
    <x v="4"/>
    <n v="1250.71"/>
    <n v="7"/>
    <n v="0"/>
    <d v="2025-01-17T00:00:00"/>
    <n v="562.82000000000005"/>
  </r>
  <r>
    <s v="CUST023"/>
    <s v="James Taylor"/>
    <x v="2"/>
    <x v="1"/>
    <n v="1118.3399999999999"/>
    <n v="6"/>
    <n v="0.2"/>
    <d v="2025-01-17T00:00:00"/>
    <n v="447.34"/>
  </r>
  <r>
    <s v="CUST024"/>
    <s v="Linda Taylor"/>
    <x v="3"/>
    <x v="1"/>
    <n v="1622.62"/>
    <n v="12"/>
    <n v="0.2"/>
    <d v="2025-01-20T00:00:00"/>
    <n v="649.04999999999995"/>
  </r>
  <r>
    <s v="CUST018"/>
    <s v="Lisa Davis"/>
    <x v="3"/>
    <x v="0"/>
    <n v="640.64"/>
    <n v="11"/>
    <n v="0.2"/>
    <d v="2025-01-21T00:00:00"/>
    <n v="205"/>
  </r>
  <r>
    <s v="CUST030"/>
    <s v="Sarah Anderson"/>
    <x v="0"/>
    <x v="1"/>
    <n v="585.16"/>
    <n v="17"/>
    <n v="0.1"/>
    <d v="2025-01-27T00:00:00"/>
    <n v="263.32"/>
  </r>
  <r>
    <s v="CUST030"/>
    <s v="Mary Davis"/>
    <x v="1"/>
    <x v="1"/>
    <n v="1109.98"/>
    <n v="5"/>
    <n v="0.2"/>
    <d v="2025-02-02T00:00:00"/>
    <n v="443.99"/>
  </r>
  <r>
    <s v="CUST015"/>
    <s v="Lisa Thomas"/>
    <x v="1"/>
    <x v="0"/>
    <n v="1098.08"/>
    <n v="9"/>
    <n v="0.1"/>
    <d v="2025-02-04T00:00:00"/>
    <n v="395.31"/>
  </r>
  <r>
    <s v="CUST002"/>
    <s v="Lisa Davis"/>
    <x v="0"/>
    <x v="4"/>
    <n v="827.25"/>
    <n v="7"/>
    <n v="0.1"/>
    <d v="2025-02-05T00:00:00"/>
    <n v="335.04"/>
  </r>
  <r>
    <s v="CUST024"/>
    <s v="Linda Wilson"/>
    <x v="4"/>
    <x v="1"/>
    <n v="741.88"/>
    <n v="16"/>
    <n v="0.1"/>
    <d v="2025-02-07T00:00:00"/>
    <n v="333.85"/>
  </r>
  <r>
    <s v="CUST004"/>
    <s v="James Davis"/>
    <x v="1"/>
    <x v="4"/>
    <n v="1311.26"/>
    <n v="6"/>
    <n v="0.1"/>
    <d v="2025-02-10T00:00:00"/>
    <n v="531.05999999999995"/>
  </r>
  <r>
    <s v="CUST004"/>
    <s v="Mary Davis"/>
    <x v="2"/>
    <x v="4"/>
    <n v="573.32000000000005"/>
    <n v="19"/>
    <n v="0.1"/>
    <d v="2025-02-15T00:00:00"/>
    <n v="232.19"/>
  </r>
  <r>
    <s v="CUST028"/>
    <s v="James Wilson"/>
    <x v="0"/>
    <x v="2"/>
    <n v="1115.22"/>
    <n v="14"/>
    <n v="0.2"/>
    <d v="2025-02-17T00:00:00"/>
    <n v="223.04"/>
  </r>
  <r>
    <s v="CUST012"/>
    <s v="Lisa Thomas"/>
    <x v="3"/>
    <x v="1"/>
    <n v="845.84"/>
    <n v="4"/>
    <n v="0"/>
    <d v="2025-02-19T00:00:00"/>
    <n v="422.92"/>
  </r>
  <r>
    <s v="CUST026"/>
    <s v="David Brown"/>
    <x v="0"/>
    <x v="2"/>
    <n v="1029.8"/>
    <n v="3"/>
    <n v="0"/>
    <d v="2025-02-20T00:00:00"/>
    <n v="257.45"/>
  </r>
  <r>
    <s v="CUST009"/>
    <s v="Mary Davis"/>
    <x v="3"/>
    <x v="0"/>
    <n v="1189.83"/>
    <n v="2"/>
    <n v="0.2"/>
    <d v="2025-02-21T00:00:00"/>
    <n v="380.75"/>
  </r>
  <r>
    <s v="CUST003"/>
    <s v="Sarah Anderson"/>
    <x v="2"/>
    <x v="0"/>
    <n v="704.28"/>
    <n v="15"/>
    <n v="0.2"/>
    <d v="2025-02-24T00:00:00"/>
    <n v="225.37"/>
  </r>
  <r>
    <s v="CUST002"/>
    <s v="Mary Jackson"/>
    <x v="4"/>
    <x v="4"/>
    <n v="1618.22"/>
    <n v="12"/>
    <n v="0.2"/>
    <d v="2025-02-24T00:00:00"/>
    <n v="582.55999999999995"/>
  </r>
  <r>
    <s v="CUST013"/>
    <s v="Linda Taylor"/>
    <x v="4"/>
    <x v="0"/>
    <n v="1014.43"/>
    <n v="2"/>
    <n v="0.15"/>
    <d v="2025-02-25T00:00:00"/>
    <n v="344.91"/>
  </r>
  <r>
    <s v="CUST018"/>
    <s v="Mary Davis"/>
    <x v="4"/>
    <x v="1"/>
    <n v="826.97"/>
    <n v="18"/>
    <n v="0.2"/>
    <d v="2025-02-27T00:00:00"/>
    <n v="330.79"/>
  </r>
  <r>
    <s v="CUST017"/>
    <s v="Mary Davis"/>
    <x v="4"/>
    <x v="1"/>
    <n v="1022.23"/>
    <n v="8"/>
    <n v="0.1"/>
    <d v="2025-03-01T00:00:00"/>
    <n v="460"/>
  </r>
  <r>
    <s v="CUST004"/>
    <s v="Linda Wilson"/>
    <x v="1"/>
    <x v="0"/>
    <n v="1099.69"/>
    <n v="6"/>
    <n v="0"/>
    <d v="2025-03-02T00:00:00"/>
    <n v="439.88"/>
  </r>
  <r>
    <s v="CUST028"/>
    <s v="Sarah Davis"/>
    <x v="3"/>
    <x v="0"/>
    <n v="710.52"/>
    <n v="8"/>
    <n v="0.1"/>
    <d v="2025-03-05T00:00:00"/>
    <n v="255.79"/>
  </r>
  <r>
    <s v="CUST028"/>
    <s v="Mary Wilson"/>
    <x v="3"/>
    <x v="0"/>
    <n v="499.18"/>
    <n v="15"/>
    <n v="0.2"/>
    <d v="2025-03-08T00:00:00"/>
    <n v="159.74"/>
  </r>
  <r>
    <s v="CUST014"/>
    <s v="Emma Davis"/>
    <x v="2"/>
    <x v="0"/>
    <n v="1064.19"/>
    <n v="18"/>
    <n v="0.05"/>
    <d v="2025-03-09T00:00:00"/>
    <n v="404.39"/>
  </r>
  <r>
    <s v="CUST003"/>
    <s v="Emma Davis"/>
    <x v="1"/>
    <x v="4"/>
    <n v="438.76"/>
    <n v="18"/>
    <n v="0.05"/>
    <d v="2025-03-10T00:00:00"/>
    <n v="187.57"/>
  </r>
  <r>
    <s v="CUST029"/>
    <s v="David Brown"/>
    <x v="0"/>
    <x v="1"/>
    <n v="864.98"/>
    <n v="2"/>
    <n v="0.05"/>
    <d v="2025-03-11T00:00:00"/>
    <n v="410.87"/>
  </r>
  <r>
    <s v="CUST021"/>
    <s v="David Brown"/>
    <x v="0"/>
    <x v="3"/>
    <n v="984.93"/>
    <n v="14"/>
    <n v="0.2"/>
    <d v="2025-03-17T00:00:00"/>
    <n v="275.77999999999997"/>
  </r>
  <r>
    <s v="CUST007"/>
    <s v="David Brown"/>
    <x v="0"/>
    <x v="1"/>
    <n v="1493.49"/>
    <n v="18"/>
    <n v="0"/>
    <d v="2025-03-18T00:00:00"/>
    <n v="746.74"/>
  </r>
  <r>
    <s v="CUST009"/>
    <s v="Linda Taylor"/>
    <x v="2"/>
    <x v="1"/>
    <n v="689.43"/>
    <n v="9"/>
    <n v="0.1"/>
    <d v="2025-03-20T00:00:00"/>
    <n v="310.24"/>
  </r>
  <r>
    <s v="CUST023"/>
    <s v="Mary Wilson"/>
    <x v="2"/>
    <x v="1"/>
    <n v="682.24"/>
    <n v="1"/>
    <n v="0"/>
    <d v="2025-03-22T00:00:00"/>
    <n v="341.12"/>
  </r>
  <r>
    <s v="CUST029"/>
    <s v="Michael Anderson"/>
    <x v="3"/>
    <x v="2"/>
    <n v="458.54"/>
    <n v="15"/>
    <n v="0.2"/>
    <d v="2025-03-25T00:00:00"/>
    <n v="91.71"/>
  </r>
  <r>
    <s v="CUST009"/>
    <s v="Michael Anderson"/>
    <x v="2"/>
    <x v="3"/>
    <n v="1184.25"/>
    <n v="11"/>
    <n v="0.2"/>
    <d v="2025-03-26T00:00:00"/>
    <n v="331.59"/>
  </r>
  <r>
    <s v="CUST007"/>
    <s v="James Davis"/>
    <x v="2"/>
    <x v="1"/>
    <n v="762.14"/>
    <n v="9"/>
    <n v="0"/>
    <d v="2025-03-27T00:00:00"/>
    <n v="381.07"/>
  </r>
  <r>
    <s v="CUST030"/>
    <s v="Linda Taylor"/>
    <x v="3"/>
    <x v="0"/>
    <n v="750.71"/>
    <n v="10"/>
    <n v="0.15"/>
    <d v="2025-03-27T00:00:00"/>
    <n v="255.24"/>
  </r>
  <r>
    <s v="CUST018"/>
    <s v="David Anderson"/>
    <x v="4"/>
    <x v="1"/>
    <n v="1456.94"/>
    <n v="14"/>
    <n v="0.05"/>
    <d v="2025-03-29T00:00:00"/>
    <n v="692.05"/>
  </r>
  <r>
    <s v="CUST008"/>
    <s v="Emma Wilson"/>
    <x v="1"/>
    <x v="3"/>
    <n v="1093.3800000000001"/>
    <n v="17"/>
    <n v="0.1"/>
    <d v="2025-03-29T00:00:00"/>
    <n v="344.41"/>
  </r>
  <r>
    <s v="CUST014"/>
    <s v="Sarah Anderson"/>
    <x v="0"/>
    <x v="1"/>
    <n v="934.27"/>
    <n v="8"/>
    <n v="0.15"/>
    <d v="2025-03-30T00:00:00"/>
    <n v="397.06"/>
  </r>
  <r>
    <s v="CUST024"/>
    <s v="David Thomas"/>
    <x v="4"/>
    <x v="1"/>
    <n v="1465.35"/>
    <n v="8"/>
    <n v="0.2"/>
    <d v="2025-03-30T00:00:00"/>
    <n v="586.14"/>
  </r>
  <r>
    <s v="CUST028"/>
    <s v="Robert Anderson"/>
    <x v="2"/>
    <x v="4"/>
    <n v="740.8"/>
    <n v="3"/>
    <n v="0"/>
    <d v="2025-04-02T00:00:00"/>
    <n v="333.36"/>
  </r>
  <r>
    <s v="CUST015"/>
    <s v="Sarah Anderson"/>
    <x v="0"/>
    <x v="4"/>
    <n v="545.44000000000005"/>
    <n v="17"/>
    <n v="0"/>
    <d v="2025-04-05T00:00:00"/>
    <n v="245.45"/>
  </r>
  <r>
    <s v="CUST010"/>
    <s v="David Thomas"/>
    <x v="1"/>
    <x v="0"/>
    <n v="997.61"/>
    <n v="8"/>
    <n v="0.05"/>
    <d v="2025-04-05T00:00:00"/>
    <n v="379.09"/>
  </r>
  <r>
    <s v="CUST016"/>
    <s v="David Thomas"/>
    <x v="2"/>
    <x v="1"/>
    <n v="928.32"/>
    <n v="2"/>
    <n v="0.05"/>
    <d v="2025-04-07T00:00:00"/>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424D0-0117-4E74-9AE7-EF166F8221B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34" firstHeaderRow="1" firstDataRow="1" firstDataCol="1"/>
  <pivotFields count="9">
    <pivotField showAll="0"/>
    <pivotField showAll="0"/>
    <pivotField axis="axisRow"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pivotField showAll="0"/>
  </pivotFields>
  <rowFields count="2">
    <field x="2"/>
    <field x="3"/>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Sales" fld="4" baseField="0" baseItem="0"/>
  </dataFields>
  <formats count="62">
    <format dxfId="1">
      <pivotArea collapsedLevelsAreSubtotals="1" fieldPosition="0">
        <references count="1">
          <reference field="2" count="1">
            <x v="0"/>
          </reference>
        </references>
      </pivotArea>
    </format>
    <format dxfId="2">
      <pivotArea dataOnly="0" labelOnly="1" fieldPosition="0">
        <references count="1">
          <reference field="2" count="1">
            <x v="0"/>
          </reference>
        </references>
      </pivotArea>
    </format>
    <format dxfId="3">
      <pivotArea collapsedLevelsAreSubtotals="1" fieldPosition="0">
        <references count="1">
          <reference field="2" count="1">
            <x v="1"/>
          </reference>
        </references>
      </pivotArea>
    </format>
    <format dxfId="4">
      <pivotArea dataOnly="0" labelOnly="1" fieldPosition="0">
        <references count="1">
          <reference field="2" count="1">
            <x v="1"/>
          </reference>
        </references>
      </pivotArea>
    </format>
    <format dxfId="5">
      <pivotArea collapsedLevelsAreSubtotals="1" fieldPosition="0">
        <references count="2">
          <reference field="2" count="1" selected="0">
            <x v="0"/>
          </reference>
          <reference field="3" count="1">
            <x v="0"/>
          </reference>
        </references>
      </pivotArea>
    </format>
    <format dxfId="6">
      <pivotArea dataOnly="0" labelOnly="1" fieldPosition="0">
        <references count="2">
          <reference field="2" count="1" selected="0">
            <x v="0"/>
          </reference>
          <reference field="3" count="1">
            <x v="0"/>
          </reference>
        </references>
      </pivotArea>
    </format>
    <format dxfId="7">
      <pivotArea collapsedLevelsAreSubtotals="1" fieldPosition="0">
        <references count="2">
          <reference field="2" count="1" selected="0">
            <x v="0"/>
          </reference>
          <reference field="3" count="1">
            <x v="1"/>
          </reference>
        </references>
      </pivotArea>
    </format>
    <format dxfId="8">
      <pivotArea dataOnly="0" labelOnly="1" fieldPosition="0">
        <references count="2">
          <reference field="2" count="1" selected="0">
            <x v="0"/>
          </reference>
          <reference field="3" count="1">
            <x v="1"/>
          </reference>
        </references>
      </pivotArea>
    </format>
    <format dxfId="9">
      <pivotArea collapsedLevelsAreSubtotals="1" fieldPosition="0">
        <references count="2">
          <reference field="2" count="1" selected="0">
            <x v="0"/>
          </reference>
          <reference field="3" count="1">
            <x v="2"/>
          </reference>
        </references>
      </pivotArea>
    </format>
    <format dxfId="10">
      <pivotArea dataOnly="0" labelOnly="1" fieldPosition="0">
        <references count="2">
          <reference field="2" count="1" selected="0">
            <x v="0"/>
          </reference>
          <reference field="3" count="1">
            <x v="2"/>
          </reference>
        </references>
      </pivotArea>
    </format>
    <format dxfId="11">
      <pivotArea collapsedLevelsAreSubtotals="1" fieldPosition="0">
        <references count="2">
          <reference field="2" count="1" selected="0">
            <x v="0"/>
          </reference>
          <reference field="3" count="1">
            <x v="3"/>
          </reference>
        </references>
      </pivotArea>
    </format>
    <format dxfId="12">
      <pivotArea dataOnly="0" labelOnly="1" fieldPosition="0">
        <references count="2">
          <reference field="2" count="1" selected="0">
            <x v="0"/>
          </reference>
          <reference field="3" count="1">
            <x v="3"/>
          </reference>
        </references>
      </pivotArea>
    </format>
    <format dxfId="13">
      <pivotArea collapsedLevelsAreSubtotals="1" fieldPosition="0">
        <references count="2">
          <reference field="2" count="1" selected="0">
            <x v="0"/>
          </reference>
          <reference field="3" count="1">
            <x v="4"/>
          </reference>
        </references>
      </pivotArea>
    </format>
    <format dxfId="14">
      <pivotArea dataOnly="0" labelOnly="1" fieldPosition="0">
        <references count="2">
          <reference field="2" count="1" selected="0">
            <x v="0"/>
          </reference>
          <reference field="3" count="1">
            <x v="4"/>
          </reference>
        </references>
      </pivotArea>
    </format>
    <format dxfId="15">
      <pivotArea collapsedLevelsAreSubtotals="1" fieldPosition="0">
        <references count="2">
          <reference field="2" count="1" selected="0">
            <x v="1"/>
          </reference>
          <reference field="3" count="1">
            <x v="0"/>
          </reference>
        </references>
      </pivotArea>
    </format>
    <format dxfId="16">
      <pivotArea dataOnly="0" labelOnly="1" fieldPosition="0">
        <references count="2">
          <reference field="2" count="1" selected="0">
            <x v="1"/>
          </reference>
          <reference field="3" count="1">
            <x v="0"/>
          </reference>
        </references>
      </pivotArea>
    </format>
    <format dxfId="17">
      <pivotArea collapsedLevelsAreSubtotals="1" fieldPosition="0">
        <references count="2">
          <reference field="2" count="1" selected="0">
            <x v="1"/>
          </reference>
          <reference field="3" count="1">
            <x v="1"/>
          </reference>
        </references>
      </pivotArea>
    </format>
    <format dxfId="18">
      <pivotArea dataOnly="0" labelOnly="1" fieldPosition="0">
        <references count="2">
          <reference field="2" count="1" selected="0">
            <x v="1"/>
          </reference>
          <reference field="3" count="1">
            <x v="1"/>
          </reference>
        </references>
      </pivotArea>
    </format>
    <format dxfId="19">
      <pivotArea collapsedLevelsAreSubtotals="1" fieldPosition="0">
        <references count="2">
          <reference field="2" count="1" selected="0">
            <x v="1"/>
          </reference>
          <reference field="3" count="1">
            <x v="2"/>
          </reference>
        </references>
      </pivotArea>
    </format>
    <format dxfId="20">
      <pivotArea dataOnly="0" labelOnly="1" fieldPosition="0">
        <references count="2">
          <reference field="2" count="1" selected="0">
            <x v="1"/>
          </reference>
          <reference field="3" count="1">
            <x v="2"/>
          </reference>
        </references>
      </pivotArea>
    </format>
    <format dxfId="21">
      <pivotArea collapsedLevelsAreSubtotals="1" fieldPosition="0">
        <references count="2">
          <reference field="2" count="1" selected="0">
            <x v="1"/>
          </reference>
          <reference field="3" count="1">
            <x v="3"/>
          </reference>
        </references>
      </pivotArea>
    </format>
    <format dxfId="22">
      <pivotArea dataOnly="0" labelOnly="1" fieldPosition="0">
        <references count="2">
          <reference field="2" count="1" selected="0">
            <x v="1"/>
          </reference>
          <reference field="3" count="1">
            <x v="3"/>
          </reference>
        </references>
      </pivotArea>
    </format>
    <format dxfId="23">
      <pivotArea collapsedLevelsAreSubtotals="1" fieldPosition="0">
        <references count="2">
          <reference field="2" count="1" selected="0">
            <x v="1"/>
          </reference>
          <reference field="3" count="1">
            <x v="4"/>
          </reference>
        </references>
      </pivotArea>
    </format>
    <format dxfId="24">
      <pivotArea dataOnly="0" labelOnly="1" fieldPosition="0">
        <references count="2">
          <reference field="2" count="1" selected="0">
            <x v="1"/>
          </reference>
          <reference field="3" count="1">
            <x v="4"/>
          </reference>
        </references>
      </pivotArea>
    </format>
    <format dxfId="25">
      <pivotArea collapsedLevelsAreSubtotals="1" fieldPosition="0">
        <references count="2">
          <reference field="2" count="1" selected="0">
            <x v="2"/>
          </reference>
          <reference field="3" count="1">
            <x v="0"/>
          </reference>
        </references>
      </pivotArea>
    </format>
    <format dxfId="26">
      <pivotArea dataOnly="0" labelOnly="1" fieldPosition="0">
        <references count="2">
          <reference field="2" count="1" selected="0">
            <x v="2"/>
          </reference>
          <reference field="3" count="1">
            <x v="0"/>
          </reference>
        </references>
      </pivotArea>
    </format>
    <format dxfId="27">
      <pivotArea collapsedLevelsAreSubtotals="1" fieldPosition="0">
        <references count="2">
          <reference field="2" count="1" selected="0">
            <x v="2"/>
          </reference>
          <reference field="3" count="1">
            <x v="1"/>
          </reference>
        </references>
      </pivotArea>
    </format>
    <format dxfId="28">
      <pivotArea dataOnly="0" labelOnly="1" fieldPosition="0">
        <references count="2">
          <reference field="2" count="1" selected="0">
            <x v="2"/>
          </reference>
          <reference field="3" count="1">
            <x v="1"/>
          </reference>
        </references>
      </pivotArea>
    </format>
    <format dxfId="29">
      <pivotArea collapsedLevelsAreSubtotals="1" fieldPosition="0">
        <references count="2">
          <reference field="2" count="1" selected="0">
            <x v="2"/>
          </reference>
          <reference field="3" count="1">
            <x v="2"/>
          </reference>
        </references>
      </pivotArea>
    </format>
    <format dxfId="30">
      <pivotArea dataOnly="0" labelOnly="1" fieldPosition="0">
        <references count="2">
          <reference field="2" count="1" selected="0">
            <x v="2"/>
          </reference>
          <reference field="3" count="1">
            <x v="2"/>
          </reference>
        </references>
      </pivotArea>
    </format>
    <format dxfId="31">
      <pivotArea collapsedLevelsAreSubtotals="1" fieldPosition="0">
        <references count="2">
          <reference field="2" count="1" selected="0">
            <x v="2"/>
          </reference>
          <reference field="3" count="1">
            <x v="3"/>
          </reference>
        </references>
      </pivotArea>
    </format>
    <format dxfId="32">
      <pivotArea dataOnly="0" labelOnly="1" fieldPosition="0">
        <references count="2">
          <reference field="2" count="1" selected="0">
            <x v="2"/>
          </reference>
          <reference field="3" count="1">
            <x v="3"/>
          </reference>
        </references>
      </pivotArea>
    </format>
    <format dxfId="33">
      <pivotArea collapsedLevelsAreSubtotals="1" fieldPosition="0">
        <references count="2">
          <reference field="2" count="1" selected="0">
            <x v="2"/>
          </reference>
          <reference field="3" count="1">
            <x v="4"/>
          </reference>
        </references>
      </pivotArea>
    </format>
    <format dxfId="34">
      <pivotArea dataOnly="0" labelOnly="1" fieldPosition="0">
        <references count="2">
          <reference field="2" count="1" selected="0">
            <x v="2"/>
          </reference>
          <reference field="3" count="1">
            <x v="4"/>
          </reference>
        </references>
      </pivotArea>
    </format>
    <format dxfId="35">
      <pivotArea collapsedLevelsAreSubtotals="1" fieldPosition="0">
        <references count="2">
          <reference field="2" count="1" selected="0">
            <x v="3"/>
          </reference>
          <reference field="3" count="1">
            <x v="0"/>
          </reference>
        </references>
      </pivotArea>
    </format>
    <format dxfId="36">
      <pivotArea dataOnly="0" labelOnly="1" fieldPosition="0">
        <references count="2">
          <reference field="2" count="1" selected="0">
            <x v="3"/>
          </reference>
          <reference field="3" count="1">
            <x v="0"/>
          </reference>
        </references>
      </pivotArea>
    </format>
    <format dxfId="37">
      <pivotArea collapsedLevelsAreSubtotals="1" fieldPosition="0">
        <references count="2">
          <reference field="2" count="1" selected="0">
            <x v="3"/>
          </reference>
          <reference field="3" count="1">
            <x v="1"/>
          </reference>
        </references>
      </pivotArea>
    </format>
    <format dxfId="38">
      <pivotArea dataOnly="0" labelOnly="1" fieldPosition="0">
        <references count="2">
          <reference field="2" count="1" selected="0">
            <x v="3"/>
          </reference>
          <reference field="3" count="1">
            <x v="1"/>
          </reference>
        </references>
      </pivotArea>
    </format>
    <format dxfId="39">
      <pivotArea collapsedLevelsAreSubtotals="1" fieldPosition="0">
        <references count="2">
          <reference field="2" count="1" selected="0">
            <x v="3"/>
          </reference>
          <reference field="3" count="1">
            <x v="2"/>
          </reference>
        </references>
      </pivotArea>
    </format>
    <format dxfId="40">
      <pivotArea dataOnly="0" labelOnly="1" fieldPosition="0">
        <references count="2">
          <reference field="2" count="1" selected="0">
            <x v="3"/>
          </reference>
          <reference field="3" count="1">
            <x v="2"/>
          </reference>
        </references>
      </pivotArea>
    </format>
    <format dxfId="41">
      <pivotArea collapsedLevelsAreSubtotals="1" fieldPosition="0">
        <references count="2">
          <reference field="2" count="1" selected="0">
            <x v="3"/>
          </reference>
          <reference field="3" count="1">
            <x v="3"/>
          </reference>
        </references>
      </pivotArea>
    </format>
    <format dxfId="42">
      <pivotArea dataOnly="0" labelOnly="1" fieldPosition="0">
        <references count="2">
          <reference field="2" count="1" selected="0">
            <x v="3"/>
          </reference>
          <reference field="3" count="1">
            <x v="3"/>
          </reference>
        </references>
      </pivotArea>
    </format>
    <format dxfId="43">
      <pivotArea collapsedLevelsAreSubtotals="1" fieldPosition="0">
        <references count="2">
          <reference field="2" count="1" selected="0">
            <x v="3"/>
          </reference>
          <reference field="3" count="1">
            <x v="4"/>
          </reference>
        </references>
      </pivotArea>
    </format>
    <format dxfId="44">
      <pivotArea dataOnly="0" labelOnly="1" fieldPosition="0">
        <references count="2">
          <reference field="2" count="1" selected="0">
            <x v="3"/>
          </reference>
          <reference field="3" count="1">
            <x v="4"/>
          </reference>
        </references>
      </pivotArea>
    </format>
    <format dxfId="45">
      <pivotArea collapsedLevelsAreSubtotals="1" fieldPosition="0">
        <references count="2">
          <reference field="2" count="1" selected="0">
            <x v="4"/>
          </reference>
          <reference field="3" count="1">
            <x v="0"/>
          </reference>
        </references>
      </pivotArea>
    </format>
    <format dxfId="46">
      <pivotArea dataOnly="0" labelOnly="1" fieldPosition="0">
        <references count="2">
          <reference field="2" count="1" selected="0">
            <x v="4"/>
          </reference>
          <reference field="3" count="1">
            <x v="0"/>
          </reference>
        </references>
      </pivotArea>
    </format>
    <format dxfId="47">
      <pivotArea collapsedLevelsAreSubtotals="1" fieldPosition="0">
        <references count="2">
          <reference field="2" count="1" selected="0">
            <x v="4"/>
          </reference>
          <reference field="3" count="1">
            <x v="1"/>
          </reference>
        </references>
      </pivotArea>
    </format>
    <format dxfId="48">
      <pivotArea dataOnly="0" labelOnly="1" fieldPosition="0">
        <references count="2">
          <reference field="2" count="1" selected="0">
            <x v="4"/>
          </reference>
          <reference field="3" count="1">
            <x v="1"/>
          </reference>
        </references>
      </pivotArea>
    </format>
    <format dxfId="49">
      <pivotArea collapsedLevelsAreSubtotals="1" fieldPosition="0">
        <references count="2">
          <reference field="2" count="1" selected="0">
            <x v="4"/>
          </reference>
          <reference field="3" count="1">
            <x v="2"/>
          </reference>
        </references>
      </pivotArea>
    </format>
    <format dxfId="50">
      <pivotArea dataOnly="0" labelOnly="1" fieldPosition="0">
        <references count="2">
          <reference field="2" count="1" selected="0">
            <x v="4"/>
          </reference>
          <reference field="3" count="1">
            <x v="2"/>
          </reference>
        </references>
      </pivotArea>
    </format>
    <format dxfId="51">
      <pivotArea collapsedLevelsAreSubtotals="1" fieldPosition="0">
        <references count="2">
          <reference field="2" count="1" selected="0">
            <x v="4"/>
          </reference>
          <reference field="3" count="1">
            <x v="3"/>
          </reference>
        </references>
      </pivotArea>
    </format>
    <format dxfId="52">
      <pivotArea dataOnly="0" labelOnly="1" fieldPosition="0">
        <references count="2">
          <reference field="2" count="1" selected="0">
            <x v="4"/>
          </reference>
          <reference field="3" count="1">
            <x v="3"/>
          </reference>
        </references>
      </pivotArea>
    </format>
    <format dxfId="53">
      <pivotArea collapsedLevelsAreSubtotals="1" fieldPosition="0">
        <references count="2">
          <reference field="2" count="1" selected="0">
            <x v="4"/>
          </reference>
          <reference field="3" count="1">
            <x v="4"/>
          </reference>
        </references>
      </pivotArea>
    </format>
    <format dxfId="54">
      <pivotArea dataOnly="0" labelOnly="1" fieldPosition="0">
        <references count="2">
          <reference field="2" count="1" selected="0">
            <x v="4"/>
          </reference>
          <reference field="3" count="1">
            <x v="4"/>
          </reference>
        </references>
      </pivotArea>
    </format>
    <format dxfId="55">
      <pivotArea grandRow="1" outline="0" collapsedLevelsAreSubtotals="1" fieldPosition="0"/>
    </format>
    <format dxfId="56">
      <pivotArea dataOnly="0" labelOnly="1" grandRow="1" outline="0" fieldPosition="0"/>
    </format>
    <format dxfId="57">
      <pivotArea collapsedLevelsAreSubtotals="1" fieldPosition="0">
        <references count="1">
          <reference field="2" count="1">
            <x v="4"/>
          </reference>
        </references>
      </pivotArea>
    </format>
    <format dxfId="58">
      <pivotArea dataOnly="0" labelOnly="1" fieldPosition="0">
        <references count="1">
          <reference field="2" count="1">
            <x v="4"/>
          </reference>
        </references>
      </pivotArea>
    </format>
    <format dxfId="59">
      <pivotArea collapsedLevelsAreSubtotals="1" fieldPosition="0">
        <references count="1">
          <reference field="2" count="1">
            <x v="3"/>
          </reference>
        </references>
      </pivotArea>
    </format>
    <format dxfId="60">
      <pivotArea dataOnly="0" labelOnly="1" fieldPosition="0">
        <references count="1">
          <reference field="2" count="1">
            <x v="3"/>
          </reference>
        </references>
      </pivotArea>
    </format>
    <format dxfId="61">
      <pivotArea collapsedLevelsAreSubtotals="1" fieldPosition="0">
        <references count="1">
          <reference field="2" count="1">
            <x v="2"/>
          </reference>
        </references>
      </pivotArea>
    </format>
    <format dxfId="62">
      <pivotArea dataOnly="0" labelOnly="1" fieldPosition="0">
        <references count="1">
          <reference field="2" count="1">
            <x v="2"/>
          </reference>
        </references>
      </pivotArea>
    </format>
  </formats>
  <chartFormats count="5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7" series="1">
      <pivotArea type="data" outline="0" fieldPosition="0">
        <references count="1">
          <reference field="4294967294" count="1" selected="0">
            <x v="0"/>
          </reference>
        </references>
      </pivotArea>
    </chartFormat>
    <chartFormat chart="13" format="28">
      <pivotArea type="data" outline="0" fieldPosition="0">
        <references count="3">
          <reference field="4294967294" count="1" selected="0">
            <x v="0"/>
          </reference>
          <reference field="2" count="1" selected="0">
            <x v="0"/>
          </reference>
          <reference field="3" count="1" selected="0">
            <x v="0"/>
          </reference>
        </references>
      </pivotArea>
    </chartFormat>
    <chartFormat chart="13" format="29">
      <pivotArea type="data" outline="0" fieldPosition="0">
        <references count="3">
          <reference field="4294967294" count="1" selected="0">
            <x v="0"/>
          </reference>
          <reference field="2" count="1" selected="0">
            <x v="0"/>
          </reference>
          <reference field="3" count="1" selected="0">
            <x v="1"/>
          </reference>
        </references>
      </pivotArea>
    </chartFormat>
    <chartFormat chart="13" format="30">
      <pivotArea type="data" outline="0" fieldPosition="0">
        <references count="3">
          <reference field="4294967294" count="1" selected="0">
            <x v="0"/>
          </reference>
          <reference field="2" count="1" selected="0">
            <x v="0"/>
          </reference>
          <reference field="3" count="1" selected="0">
            <x v="2"/>
          </reference>
        </references>
      </pivotArea>
    </chartFormat>
    <chartFormat chart="13" format="31">
      <pivotArea type="data" outline="0" fieldPosition="0">
        <references count="3">
          <reference field="4294967294" count="1" selected="0">
            <x v="0"/>
          </reference>
          <reference field="2" count="1" selected="0">
            <x v="0"/>
          </reference>
          <reference field="3" count="1" selected="0">
            <x v="3"/>
          </reference>
        </references>
      </pivotArea>
    </chartFormat>
    <chartFormat chart="13" format="32">
      <pivotArea type="data" outline="0" fieldPosition="0">
        <references count="3">
          <reference field="4294967294" count="1" selected="0">
            <x v="0"/>
          </reference>
          <reference field="2" count="1" selected="0">
            <x v="0"/>
          </reference>
          <reference field="3" count="1" selected="0">
            <x v="4"/>
          </reference>
        </references>
      </pivotArea>
    </chartFormat>
    <chartFormat chart="13" format="33">
      <pivotArea type="data" outline="0" fieldPosition="0">
        <references count="3">
          <reference field="4294967294" count="1" selected="0">
            <x v="0"/>
          </reference>
          <reference field="2" count="1" selected="0">
            <x v="1"/>
          </reference>
          <reference field="3" count="1" selected="0">
            <x v="0"/>
          </reference>
        </references>
      </pivotArea>
    </chartFormat>
    <chartFormat chart="13" format="34">
      <pivotArea type="data" outline="0" fieldPosition="0">
        <references count="3">
          <reference field="4294967294" count="1" selected="0">
            <x v="0"/>
          </reference>
          <reference field="2" count="1" selected="0">
            <x v="1"/>
          </reference>
          <reference field="3" count="1" selected="0">
            <x v="1"/>
          </reference>
        </references>
      </pivotArea>
    </chartFormat>
    <chartFormat chart="13" format="35">
      <pivotArea type="data" outline="0" fieldPosition="0">
        <references count="3">
          <reference field="4294967294" count="1" selected="0">
            <x v="0"/>
          </reference>
          <reference field="2" count="1" selected="0">
            <x v="1"/>
          </reference>
          <reference field="3" count="1" selected="0">
            <x v="2"/>
          </reference>
        </references>
      </pivotArea>
    </chartFormat>
    <chartFormat chart="13" format="36">
      <pivotArea type="data" outline="0" fieldPosition="0">
        <references count="3">
          <reference field="4294967294" count="1" selected="0">
            <x v="0"/>
          </reference>
          <reference field="2" count="1" selected="0">
            <x v="1"/>
          </reference>
          <reference field="3" count="1" selected="0">
            <x v="3"/>
          </reference>
        </references>
      </pivotArea>
    </chartFormat>
    <chartFormat chart="13" format="37">
      <pivotArea type="data" outline="0" fieldPosition="0">
        <references count="3">
          <reference field="4294967294" count="1" selected="0">
            <x v="0"/>
          </reference>
          <reference field="2" count="1" selected="0">
            <x v="1"/>
          </reference>
          <reference field="3" count="1" selected="0">
            <x v="4"/>
          </reference>
        </references>
      </pivotArea>
    </chartFormat>
    <chartFormat chart="13" format="38">
      <pivotArea type="data" outline="0" fieldPosition="0">
        <references count="3">
          <reference field="4294967294" count="1" selected="0">
            <x v="0"/>
          </reference>
          <reference field="2" count="1" selected="0">
            <x v="2"/>
          </reference>
          <reference field="3" count="1" selected="0">
            <x v="0"/>
          </reference>
        </references>
      </pivotArea>
    </chartFormat>
    <chartFormat chart="13" format="39">
      <pivotArea type="data" outline="0" fieldPosition="0">
        <references count="3">
          <reference field="4294967294" count="1" selected="0">
            <x v="0"/>
          </reference>
          <reference field="2" count="1" selected="0">
            <x v="2"/>
          </reference>
          <reference field="3" count="1" selected="0">
            <x v="1"/>
          </reference>
        </references>
      </pivotArea>
    </chartFormat>
    <chartFormat chart="13" format="40">
      <pivotArea type="data" outline="0" fieldPosition="0">
        <references count="3">
          <reference field="4294967294" count="1" selected="0">
            <x v="0"/>
          </reference>
          <reference field="2" count="1" selected="0">
            <x v="2"/>
          </reference>
          <reference field="3" count="1" selected="0">
            <x v="2"/>
          </reference>
        </references>
      </pivotArea>
    </chartFormat>
    <chartFormat chart="13" format="41">
      <pivotArea type="data" outline="0" fieldPosition="0">
        <references count="3">
          <reference field="4294967294" count="1" selected="0">
            <x v="0"/>
          </reference>
          <reference field="2" count="1" selected="0">
            <x v="2"/>
          </reference>
          <reference field="3" count="1" selected="0">
            <x v="3"/>
          </reference>
        </references>
      </pivotArea>
    </chartFormat>
    <chartFormat chart="13" format="42">
      <pivotArea type="data" outline="0" fieldPosition="0">
        <references count="3">
          <reference field="4294967294" count="1" selected="0">
            <x v="0"/>
          </reference>
          <reference field="2" count="1" selected="0">
            <x v="2"/>
          </reference>
          <reference field="3" count="1" selected="0">
            <x v="4"/>
          </reference>
        </references>
      </pivotArea>
    </chartFormat>
    <chartFormat chart="13" format="43">
      <pivotArea type="data" outline="0" fieldPosition="0">
        <references count="3">
          <reference field="4294967294" count="1" selected="0">
            <x v="0"/>
          </reference>
          <reference field="2" count="1" selected="0">
            <x v="3"/>
          </reference>
          <reference field="3" count="1" selected="0">
            <x v="0"/>
          </reference>
        </references>
      </pivotArea>
    </chartFormat>
    <chartFormat chart="13" format="44">
      <pivotArea type="data" outline="0" fieldPosition="0">
        <references count="3">
          <reference field="4294967294" count="1" selected="0">
            <x v="0"/>
          </reference>
          <reference field="2" count="1" selected="0">
            <x v="3"/>
          </reference>
          <reference field="3" count="1" selected="0">
            <x v="1"/>
          </reference>
        </references>
      </pivotArea>
    </chartFormat>
    <chartFormat chart="13" format="45">
      <pivotArea type="data" outline="0" fieldPosition="0">
        <references count="3">
          <reference field="4294967294" count="1" selected="0">
            <x v="0"/>
          </reference>
          <reference field="2" count="1" selected="0">
            <x v="3"/>
          </reference>
          <reference field="3" count="1" selected="0">
            <x v="2"/>
          </reference>
        </references>
      </pivotArea>
    </chartFormat>
    <chartFormat chart="13" format="46">
      <pivotArea type="data" outline="0" fieldPosition="0">
        <references count="3">
          <reference field="4294967294" count="1" selected="0">
            <x v="0"/>
          </reference>
          <reference field="2" count="1" selected="0">
            <x v="3"/>
          </reference>
          <reference field="3" count="1" selected="0">
            <x v="3"/>
          </reference>
        </references>
      </pivotArea>
    </chartFormat>
    <chartFormat chart="13" format="47">
      <pivotArea type="data" outline="0" fieldPosition="0">
        <references count="3">
          <reference field="4294967294" count="1" selected="0">
            <x v="0"/>
          </reference>
          <reference field="2" count="1" selected="0">
            <x v="3"/>
          </reference>
          <reference field="3" count="1" selected="0">
            <x v="4"/>
          </reference>
        </references>
      </pivotArea>
    </chartFormat>
    <chartFormat chart="13" format="48">
      <pivotArea type="data" outline="0" fieldPosition="0">
        <references count="3">
          <reference field="4294967294" count="1" selected="0">
            <x v="0"/>
          </reference>
          <reference field="2" count="1" selected="0">
            <x v="4"/>
          </reference>
          <reference field="3" count="1" selected="0">
            <x v="0"/>
          </reference>
        </references>
      </pivotArea>
    </chartFormat>
    <chartFormat chart="13" format="49">
      <pivotArea type="data" outline="0" fieldPosition="0">
        <references count="3">
          <reference field="4294967294" count="1" selected="0">
            <x v="0"/>
          </reference>
          <reference field="2" count="1" selected="0">
            <x v="4"/>
          </reference>
          <reference field="3" count="1" selected="0">
            <x v="1"/>
          </reference>
        </references>
      </pivotArea>
    </chartFormat>
    <chartFormat chart="13" format="50">
      <pivotArea type="data" outline="0" fieldPosition="0">
        <references count="3">
          <reference field="4294967294" count="1" selected="0">
            <x v="0"/>
          </reference>
          <reference field="2" count="1" selected="0">
            <x v="4"/>
          </reference>
          <reference field="3" count="1" selected="0">
            <x v="2"/>
          </reference>
        </references>
      </pivotArea>
    </chartFormat>
    <chartFormat chart="13" format="51">
      <pivotArea type="data" outline="0" fieldPosition="0">
        <references count="3">
          <reference field="4294967294" count="1" selected="0">
            <x v="0"/>
          </reference>
          <reference field="2" count="1" selected="0">
            <x v="4"/>
          </reference>
          <reference field="3" count="1" selected="0">
            <x v="3"/>
          </reference>
        </references>
      </pivotArea>
    </chartFormat>
    <chartFormat chart="13" format="52">
      <pivotArea type="data" outline="0" fieldPosition="0">
        <references count="3">
          <reference field="4294967294" count="1" selected="0">
            <x v="0"/>
          </reference>
          <reference field="2" count="1" selected="0">
            <x v="4"/>
          </reference>
          <reference field="3" count="1" selected="0">
            <x v="4"/>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3">
          <reference field="4294967294" count="1" selected="0">
            <x v="0"/>
          </reference>
          <reference field="2" count="1" selected="0">
            <x v="0"/>
          </reference>
          <reference field="3" count="1" selected="0">
            <x v="0"/>
          </reference>
        </references>
      </pivotArea>
    </chartFormat>
    <chartFormat chart="14" format="28">
      <pivotArea type="data" outline="0" fieldPosition="0">
        <references count="3">
          <reference field="4294967294" count="1" selected="0">
            <x v="0"/>
          </reference>
          <reference field="2" count="1" selected="0">
            <x v="0"/>
          </reference>
          <reference field="3" count="1" selected="0">
            <x v="1"/>
          </reference>
        </references>
      </pivotArea>
    </chartFormat>
    <chartFormat chart="14" format="29">
      <pivotArea type="data" outline="0" fieldPosition="0">
        <references count="3">
          <reference field="4294967294" count="1" selected="0">
            <x v="0"/>
          </reference>
          <reference field="2" count="1" selected="0">
            <x v="0"/>
          </reference>
          <reference field="3" count="1" selected="0">
            <x v="2"/>
          </reference>
        </references>
      </pivotArea>
    </chartFormat>
    <chartFormat chart="14" format="30">
      <pivotArea type="data" outline="0" fieldPosition="0">
        <references count="3">
          <reference field="4294967294" count="1" selected="0">
            <x v="0"/>
          </reference>
          <reference field="2" count="1" selected="0">
            <x v="0"/>
          </reference>
          <reference field="3" count="1" selected="0">
            <x v="3"/>
          </reference>
        </references>
      </pivotArea>
    </chartFormat>
    <chartFormat chart="14" format="31">
      <pivotArea type="data" outline="0" fieldPosition="0">
        <references count="3">
          <reference field="4294967294" count="1" selected="0">
            <x v="0"/>
          </reference>
          <reference field="2" count="1" selected="0">
            <x v="0"/>
          </reference>
          <reference field="3" count="1" selected="0">
            <x v="4"/>
          </reference>
        </references>
      </pivotArea>
    </chartFormat>
    <chartFormat chart="14" format="32">
      <pivotArea type="data" outline="0" fieldPosition="0">
        <references count="3">
          <reference field="4294967294" count="1" selected="0">
            <x v="0"/>
          </reference>
          <reference field="2" count="1" selected="0">
            <x v="1"/>
          </reference>
          <reference field="3" count="1" selected="0">
            <x v="0"/>
          </reference>
        </references>
      </pivotArea>
    </chartFormat>
    <chartFormat chart="14" format="33">
      <pivotArea type="data" outline="0" fieldPosition="0">
        <references count="3">
          <reference field="4294967294" count="1" selected="0">
            <x v="0"/>
          </reference>
          <reference field="2" count="1" selected="0">
            <x v="1"/>
          </reference>
          <reference field="3" count="1" selected="0">
            <x v="1"/>
          </reference>
        </references>
      </pivotArea>
    </chartFormat>
    <chartFormat chart="14" format="34">
      <pivotArea type="data" outline="0" fieldPosition="0">
        <references count="3">
          <reference field="4294967294" count="1" selected="0">
            <x v="0"/>
          </reference>
          <reference field="2" count="1" selected="0">
            <x v="1"/>
          </reference>
          <reference field="3" count="1" selected="0">
            <x v="2"/>
          </reference>
        </references>
      </pivotArea>
    </chartFormat>
    <chartFormat chart="14" format="35">
      <pivotArea type="data" outline="0" fieldPosition="0">
        <references count="3">
          <reference field="4294967294" count="1" selected="0">
            <x v="0"/>
          </reference>
          <reference field="2" count="1" selected="0">
            <x v="1"/>
          </reference>
          <reference field="3" count="1" selected="0">
            <x v="3"/>
          </reference>
        </references>
      </pivotArea>
    </chartFormat>
    <chartFormat chart="14" format="36">
      <pivotArea type="data" outline="0" fieldPosition="0">
        <references count="3">
          <reference field="4294967294" count="1" selected="0">
            <x v="0"/>
          </reference>
          <reference field="2" count="1" selected="0">
            <x v="1"/>
          </reference>
          <reference field="3" count="1" selected="0">
            <x v="4"/>
          </reference>
        </references>
      </pivotArea>
    </chartFormat>
    <chartFormat chart="14" format="37">
      <pivotArea type="data" outline="0" fieldPosition="0">
        <references count="3">
          <reference field="4294967294" count="1" selected="0">
            <x v="0"/>
          </reference>
          <reference field="2" count="1" selected="0">
            <x v="2"/>
          </reference>
          <reference field="3" count="1" selected="0">
            <x v="0"/>
          </reference>
        </references>
      </pivotArea>
    </chartFormat>
    <chartFormat chart="14" format="38">
      <pivotArea type="data" outline="0" fieldPosition="0">
        <references count="3">
          <reference field="4294967294" count="1" selected="0">
            <x v="0"/>
          </reference>
          <reference field="2" count="1" selected="0">
            <x v="2"/>
          </reference>
          <reference field="3" count="1" selected="0">
            <x v="1"/>
          </reference>
        </references>
      </pivotArea>
    </chartFormat>
    <chartFormat chart="14" format="39">
      <pivotArea type="data" outline="0" fieldPosition="0">
        <references count="3">
          <reference field="4294967294" count="1" selected="0">
            <x v="0"/>
          </reference>
          <reference field="2" count="1" selected="0">
            <x v="2"/>
          </reference>
          <reference field="3" count="1" selected="0">
            <x v="2"/>
          </reference>
        </references>
      </pivotArea>
    </chartFormat>
    <chartFormat chart="14" format="40">
      <pivotArea type="data" outline="0" fieldPosition="0">
        <references count="3">
          <reference field="4294967294" count="1" selected="0">
            <x v="0"/>
          </reference>
          <reference field="2" count="1" selected="0">
            <x v="2"/>
          </reference>
          <reference field="3" count="1" selected="0">
            <x v="3"/>
          </reference>
        </references>
      </pivotArea>
    </chartFormat>
    <chartFormat chart="14" format="41">
      <pivotArea type="data" outline="0" fieldPosition="0">
        <references count="3">
          <reference field="4294967294" count="1" selected="0">
            <x v="0"/>
          </reference>
          <reference field="2" count="1" selected="0">
            <x v="2"/>
          </reference>
          <reference field="3" count="1" selected="0">
            <x v="4"/>
          </reference>
        </references>
      </pivotArea>
    </chartFormat>
    <chartFormat chart="14" format="42">
      <pivotArea type="data" outline="0" fieldPosition="0">
        <references count="3">
          <reference field="4294967294" count="1" selected="0">
            <x v="0"/>
          </reference>
          <reference field="2" count="1" selected="0">
            <x v="3"/>
          </reference>
          <reference field="3" count="1" selected="0">
            <x v="0"/>
          </reference>
        </references>
      </pivotArea>
    </chartFormat>
    <chartFormat chart="14" format="43">
      <pivotArea type="data" outline="0" fieldPosition="0">
        <references count="3">
          <reference field="4294967294" count="1" selected="0">
            <x v="0"/>
          </reference>
          <reference field="2" count="1" selected="0">
            <x v="3"/>
          </reference>
          <reference field="3" count="1" selected="0">
            <x v="1"/>
          </reference>
        </references>
      </pivotArea>
    </chartFormat>
    <chartFormat chart="14" format="44">
      <pivotArea type="data" outline="0" fieldPosition="0">
        <references count="3">
          <reference field="4294967294" count="1" selected="0">
            <x v="0"/>
          </reference>
          <reference field="2" count="1" selected="0">
            <x v="3"/>
          </reference>
          <reference field="3" count="1" selected="0">
            <x v="2"/>
          </reference>
        </references>
      </pivotArea>
    </chartFormat>
    <chartFormat chart="14" format="45">
      <pivotArea type="data" outline="0" fieldPosition="0">
        <references count="3">
          <reference field="4294967294" count="1" selected="0">
            <x v="0"/>
          </reference>
          <reference field="2" count="1" selected="0">
            <x v="3"/>
          </reference>
          <reference field="3" count="1" selected="0">
            <x v="3"/>
          </reference>
        </references>
      </pivotArea>
    </chartFormat>
    <chartFormat chart="14" format="46">
      <pivotArea type="data" outline="0" fieldPosition="0">
        <references count="3">
          <reference field="4294967294" count="1" selected="0">
            <x v="0"/>
          </reference>
          <reference field="2" count="1" selected="0">
            <x v="3"/>
          </reference>
          <reference field="3" count="1" selected="0">
            <x v="4"/>
          </reference>
        </references>
      </pivotArea>
    </chartFormat>
    <chartFormat chart="14" format="47">
      <pivotArea type="data" outline="0" fieldPosition="0">
        <references count="3">
          <reference field="4294967294" count="1" selected="0">
            <x v="0"/>
          </reference>
          <reference field="2" count="1" selected="0">
            <x v="4"/>
          </reference>
          <reference field="3" count="1" selected="0">
            <x v="0"/>
          </reference>
        </references>
      </pivotArea>
    </chartFormat>
    <chartFormat chart="14" format="48">
      <pivotArea type="data" outline="0" fieldPosition="0">
        <references count="3">
          <reference field="4294967294" count="1" selected="0">
            <x v="0"/>
          </reference>
          <reference field="2" count="1" selected="0">
            <x v="4"/>
          </reference>
          <reference field="3" count="1" selected="0">
            <x v="1"/>
          </reference>
        </references>
      </pivotArea>
    </chartFormat>
    <chartFormat chart="14" format="49">
      <pivotArea type="data" outline="0" fieldPosition="0">
        <references count="3">
          <reference field="4294967294" count="1" selected="0">
            <x v="0"/>
          </reference>
          <reference field="2" count="1" selected="0">
            <x v="4"/>
          </reference>
          <reference field="3" count="1" selected="0">
            <x v="2"/>
          </reference>
        </references>
      </pivotArea>
    </chartFormat>
    <chartFormat chart="14" format="50">
      <pivotArea type="data" outline="0" fieldPosition="0">
        <references count="3">
          <reference field="4294967294" count="1" selected="0">
            <x v="0"/>
          </reference>
          <reference field="2" count="1" selected="0">
            <x v="4"/>
          </reference>
          <reference field="3" count="1" selected="0">
            <x v="3"/>
          </reference>
        </references>
      </pivotArea>
    </chartFormat>
    <chartFormat chart="14" format="51">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S1" workbookViewId="0"/>
  </sheetViews>
  <sheetFormatPr defaultColWidth="14.44140625" defaultRowHeight="15" customHeight="1" x14ac:dyDescent="0.3"/>
  <cols>
    <col min="1" max="1" width="74.88671875" customWidth="1"/>
    <col min="2" max="26" width="8.6640625" customWidth="1"/>
  </cols>
  <sheetData>
    <row r="1" spans="1:26" ht="14.4" x14ac:dyDescent="0.3">
      <c r="A1" s="1" t="s">
        <v>1</v>
      </c>
      <c r="B1" s="2"/>
      <c r="C1" s="2"/>
      <c r="D1" s="2"/>
      <c r="E1" s="2"/>
      <c r="F1" s="2"/>
      <c r="G1" s="2"/>
      <c r="H1" s="2"/>
      <c r="I1" s="2"/>
      <c r="J1" s="2"/>
      <c r="K1" s="2"/>
      <c r="L1" s="2"/>
      <c r="M1" s="2"/>
      <c r="N1" s="2"/>
      <c r="O1" s="2"/>
      <c r="P1" s="2"/>
      <c r="Q1" s="2"/>
      <c r="R1" s="2"/>
      <c r="S1" s="2"/>
      <c r="T1" s="2"/>
      <c r="U1" s="2"/>
      <c r="V1" s="2"/>
      <c r="W1" s="2"/>
      <c r="X1" s="2"/>
      <c r="Y1" s="2"/>
      <c r="Z1" s="2"/>
    </row>
    <row r="2" spans="1:26" ht="14.4" x14ac:dyDescent="0.3">
      <c r="A2" s="3" t="s">
        <v>14</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29E0C-CD61-4B99-BC6C-0D5AB5CC4FCB}">
  <dimension ref="A1"/>
  <sheetViews>
    <sheetView showGridLines="0" workbookViewId="0">
      <selection activeCell="I19" sqref="I19"/>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D4A2-D8C5-4825-8A97-F2BBE005B5E4}">
  <dimension ref="A3:B34"/>
  <sheetViews>
    <sheetView tabSelected="1" workbookViewId="0">
      <selection activeCell="E1" sqref="E1"/>
    </sheetView>
  </sheetViews>
  <sheetFormatPr defaultRowHeight="14.4" x14ac:dyDescent="0.3"/>
  <cols>
    <col min="1" max="1" width="17.109375" bestFit="1" customWidth="1"/>
    <col min="2" max="2" width="11.6640625" bestFit="1" customWidth="1"/>
  </cols>
  <sheetData>
    <row r="3" spans="1:2" x14ac:dyDescent="0.3">
      <c r="A3" s="13" t="s">
        <v>125</v>
      </c>
      <c r="B3" t="s">
        <v>127</v>
      </c>
    </row>
    <row r="4" spans="1:2" x14ac:dyDescent="0.3">
      <c r="A4" s="19" t="s">
        <v>36</v>
      </c>
      <c r="B4" s="20">
        <v>43468.33</v>
      </c>
    </row>
    <row r="5" spans="1:2" x14ac:dyDescent="0.3">
      <c r="A5" s="22" t="s">
        <v>13</v>
      </c>
      <c r="B5" s="21">
        <v>11297.150000000001</v>
      </c>
    </row>
    <row r="6" spans="1:2" x14ac:dyDescent="0.3">
      <c r="A6" s="22" t="s">
        <v>17</v>
      </c>
      <c r="B6" s="21">
        <v>12200.26</v>
      </c>
    </row>
    <row r="7" spans="1:2" x14ac:dyDescent="0.3">
      <c r="A7" s="22" t="s">
        <v>23</v>
      </c>
      <c r="B7" s="21">
        <v>6621.24</v>
      </c>
    </row>
    <row r="8" spans="1:2" x14ac:dyDescent="0.3">
      <c r="A8" s="22" t="s">
        <v>29</v>
      </c>
      <c r="B8" s="21">
        <v>4876.96</v>
      </c>
    </row>
    <row r="9" spans="1:2" x14ac:dyDescent="0.3">
      <c r="A9" s="22" t="s">
        <v>41</v>
      </c>
      <c r="B9" s="21">
        <v>8472.7199999999993</v>
      </c>
    </row>
    <row r="10" spans="1:2" x14ac:dyDescent="0.3">
      <c r="A10" s="19" t="s">
        <v>20</v>
      </c>
      <c r="B10" s="20">
        <v>32441.640000000003</v>
      </c>
    </row>
    <row r="11" spans="1:2" x14ac:dyDescent="0.3">
      <c r="A11" s="22" t="s">
        <v>13</v>
      </c>
      <c r="B11" s="21">
        <v>11389.090000000002</v>
      </c>
    </row>
    <row r="12" spans="1:2" x14ac:dyDescent="0.3">
      <c r="A12" s="22" t="s">
        <v>17</v>
      </c>
      <c r="B12" s="21">
        <v>2401.4499999999998</v>
      </c>
    </row>
    <row r="13" spans="1:2" x14ac:dyDescent="0.3">
      <c r="A13" s="22" t="s">
        <v>23</v>
      </c>
      <c r="B13" s="21">
        <v>2869.54</v>
      </c>
    </row>
    <row r="14" spans="1:2" x14ac:dyDescent="0.3">
      <c r="A14" s="22" t="s">
        <v>29</v>
      </c>
      <c r="B14" s="21">
        <v>7592.3399999999992</v>
      </c>
    </row>
    <row r="15" spans="1:2" x14ac:dyDescent="0.3">
      <c r="A15" s="22" t="s">
        <v>41</v>
      </c>
      <c r="B15" s="21">
        <v>8189.2200000000012</v>
      </c>
    </row>
    <row r="16" spans="1:2" x14ac:dyDescent="0.3">
      <c r="A16" s="19" t="s">
        <v>26</v>
      </c>
      <c r="B16" s="20">
        <v>34975.420000000006</v>
      </c>
    </row>
    <row r="17" spans="1:2" x14ac:dyDescent="0.3">
      <c r="A17" s="22" t="s">
        <v>13</v>
      </c>
      <c r="B17" s="21">
        <v>8037.0100000000011</v>
      </c>
    </row>
    <row r="18" spans="1:2" x14ac:dyDescent="0.3">
      <c r="A18" s="22" t="s">
        <v>17</v>
      </c>
      <c r="B18" s="21">
        <v>8422.82</v>
      </c>
    </row>
    <row r="19" spans="1:2" x14ac:dyDescent="0.3">
      <c r="A19" s="22" t="s">
        <v>23</v>
      </c>
      <c r="B19" s="21">
        <v>8191.7099999999991</v>
      </c>
    </row>
    <row r="20" spans="1:2" x14ac:dyDescent="0.3">
      <c r="A20" s="22" t="s">
        <v>29</v>
      </c>
      <c r="B20" s="21">
        <v>6978.08</v>
      </c>
    </row>
    <row r="21" spans="1:2" x14ac:dyDescent="0.3">
      <c r="A21" s="22" t="s">
        <v>41</v>
      </c>
      <c r="B21" s="21">
        <v>3345.8</v>
      </c>
    </row>
    <row r="22" spans="1:2" x14ac:dyDescent="0.3">
      <c r="A22" s="19" t="s">
        <v>22</v>
      </c>
      <c r="B22" s="20">
        <v>40248.79</v>
      </c>
    </row>
    <row r="23" spans="1:2" x14ac:dyDescent="0.3">
      <c r="A23" s="22" t="s">
        <v>13</v>
      </c>
      <c r="B23" s="21">
        <v>9588.0400000000009</v>
      </c>
    </row>
    <row r="24" spans="1:2" x14ac:dyDescent="0.3">
      <c r="A24" s="22" t="s">
        <v>17</v>
      </c>
      <c r="B24" s="21">
        <v>8393.630000000001</v>
      </c>
    </row>
    <row r="25" spans="1:2" x14ac:dyDescent="0.3">
      <c r="A25" s="22" t="s">
        <v>23</v>
      </c>
      <c r="B25" s="21">
        <v>11989.070000000003</v>
      </c>
    </row>
    <row r="26" spans="1:2" x14ac:dyDescent="0.3">
      <c r="A26" s="22" t="s">
        <v>29</v>
      </c>
      <c r="B26" s="21">
        <v>7982.73</v>
      </c>
    </row>
    <row r="27" spans="1:2" x14ac:dyDescent="0.3">
      <c r="A27" s="22" t="s">
        <v>41</v>
      </c>
      <c r="B27" s="21">
        <v>2295.3199999999997</v>
      </c>
    </row>
    <row r="28" spans="1:2" x14ac:dyDescent="0.3">
      <c r="A28" s="19" t="s">
        <v>12</v>
      </c>
      <c r="B28" s="20">
        <v>44083.58</v>
      </c>
    </row>
    <row r="29" spans="1:2" x14ac:dyDescent="0.3">
      <c r="A29" s="22" t="s">
        <v>13</v>
      </c>
      <c r="B29" s="21">
        <v>6691.17</v>
      </c>
    </row>
    <row r="30" spans="1:2" x14ac:dyDescent="0.3">
      <c r="A30" s="22" t="s">
        <v>17</v>
      </c>
      <c r="B30" s="21">
        <v>10509.429999999998</v>
      </c>
    </row>
    <row r="31" spans="1:2" x14ac:dyDescent="0.3">
      <c r="A31" s="22" t="s">
        <v>23</v>
      </c>
      <c r="B31" s="21">
        <v>11372.44</v>
      </c>
    </row>
    <row r="32" spans="1:2" x14ac:dyDescent="0.3">
      <c r="A32" s="22" t="s">
        <v>29</v>
      </c>
      <c r="B32" s="21">
        <v>9182.7800000000007</v>
      </c>
    </row>
    <row r="33" spans="1:2" x14ac:dyDescent="0.3">
      <c r="A33" s="22" t="s">
        <v>41</v>
      </c>
      <c r="B33" s="21">
        <v>6327.76</v>
      </c>
    </row>
    <row r="34" spans="1:2" x14ac:dyDescent="0.3">
      <c r="A34" s="19" t="s">
        <v>126</v>
      </c>
      <c r="B34" s="20">
        <v>195217.76000000004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000"/>
  <sheetViews>
    <sheetView topLeftCell="K1" workbookViewId="0"/>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10" width="17.5546875" customWidth="1"/>
    <col min="11" max="11" width="27.6640625" customWidth="1"/>
    <col min="12" max="12" width="22.44140625" customWidth="1"/>
    <col min="13" max="13" width="20.77734375" style="7" customWidth="1"/>
    <col min="14" max="14" width="18.88671875" style="9" customWidth="1"/>
    <col min="15" max="15" width="20.5546875" style="7" customWidth="1"/>
    <col min="16" max="16" width="15" style="7" customWidth="1"/>
    <col min="17" max="17" width="20.77734375" style="7" customWidth="1"/>
    <col min="18" max="18" width="16.33203125" style="7" customWidth="1"/>
    <col min="19" max="19" width="20.88671875" style="7" customWidth="1"/>
    <col min="20" max="20" width="16.21875" style="7" customWidth="1"/>
    <col min="21" max="21" width="22.33203125" style="7" customWidth="1"/>
    <col min="22" max="22" width="25.6640625" style="7" customWidth="1"/>
    <col min="23" max="23" width="36.33203125" style="7" customWidth="1"/>
    <col min="24" max="24" width="29.5546875" style="7" customWidth="1"/>
    <col min="25" max="25" width="24.21875" style="7" customWidth="1"/>
    <col min="26" max="26" width="8.6640625" style="7" customWidth="1"/>
    <col min="27" max="27" width="17.88671875" style="7" customWidth="1"/>
    <col min="28" max="31" width="14.44140625" style="7"/>
    <col min="32" max="32" width="16.44140625" customWidth="1"/>
    <col min="40" max="40" width="24.88671875" customWidth="1"/>
  </cols>
  <sheetData>
    <row r="1" spans="1:49" ht="28.8" x14ac:dyDescent="0.55000000000000004">
      <c r="A1" s="15" t="s">
        <v>0</v>
      </c>
      <c r="B1" s="15" t="s">
        <v>2</v>
      </c>
      <c r="C1" s="15" t="s">
        <v>3</v>
      </c>
      <c r="D1" s="15" t="s">
        <v>4</v>
      </c>
      <c r="E1" s="15" t="s">
        <v>5</v>
      </c>
      <c r="F1" s="15" t="s">
        <v>6</v>
      </c>
      <c r="G1" s="15" t="s">
        <v>7</v>
      </c>
      <c r="H1" s="15" t="s">
        <v>8</v>
      </c>
      <c r="I1" s="15" t="s">
        <v>9</v>
      </c>
      <c r="J1" s="16" t="s">
        <v>78</v>
      </c>
      <c r="K1" s="16" t="s">
        <v>79</v>
      </c>
      <c r="L1" s="17" t="s">
        <v>80</v>
      </c>
      <c r="M1" s="18" t="s">
        <v>124</v>
      </c>
      <c r="N1" s="18" t="s">
        <v>123</v>
      </c>
      <c r="O1" s="10"/>
      <c r="P1" s="38" t="s">
        <v>128</v>
      </c>
      <c r="Q1" s="39"/>
      <c r="R1" s="39"/>
      <c r="S1" s="39"/>
      <c r="T1" s="39"/>
      <c r="U1" s="39"/>
      <c r="V1" s="39"/>
      <c r="W1" s="39"/>
      <c r="X1" s="39"/>
      <c r="Y1" s="40"/>
      <c r="Z1" s="11"/>
      <c r="AA1" s="11"/>
      <c r="AB1" s="11"/>
      <c r="AC1" s="12"/>
      <c r="AD1" s="11"/>
      <c r="AO1" s="14"/>
      <c r="AP1" s="14"/>
      <c r="AQ1" s="14"/>
      <c r="AR1" s="14"/>
      <c r="AS1" s="14"/>
      <c r="AT1" s="14"/>
      <c r="AU1" s="14"/>
      <c r="AV1" s="14"/>
      <c r="AW1" s="35"/>
    </row>
    <row r="2" spans="1:49" ht="14.4" x14ac:dyDescent="0.3">
      <c r="A2" s="25" t="s">
        <v>10</v>
      </c>
      <c r="B2" s="25" t="s">
        <v>11</v>
      </c>
      <c r="C2" s="25" t="s">
        <v>12</v>
      </c>
      <c r="D2" s="25" t="s">
        <v>13</v>
      </c>
      <c r="E2" s="25">
        <v>1036.0899999999999</v>
      </c>
      <c r="F2" s="25">
        <v>4</v>
      </c>
      <c r="G2" s="25">
        <v>0.2</v>
      </c>
      <c r="H2" s="26">
        <v>45392</v>
      </c>
      <c r="I2" s="25">
        <v>331.55</v>
      </c>
      <c r="J2" s="27">
        <f ca="1">NOW()</f>
        <v>46324.918643055556</v>
      </c>
      <c r="K2" s="28">
        <f>(ROW()-1)*0.2</f>
        <v>0.2</v>
      </c>
      <c r="L2" s="29">
        <f>I2 * (1 - K2)</f>
        <v>265.24</v>
      </c>
      <c r="M2" s="30">
        <f>ROW()-1</f>
        <v>1</v>
      </c>
      <c r="N2" s="30" t="str">
        <f>INDEX($B$2:$B$201, MATCH(LARGE($E$2:$E$201, M2), $E$2:$E$201, 0))</f>
        <v>James Wilson</v>
      </c>
      <c r="P2" s="31" t="s">
        <v>81</v>
      </c>
      <c r="Q2" s="31"/>
      <c r="R2" s="31" t="s">
        <v>82</v>
      </c>
      <c r="S2" s="31"/>
      <c r="T2" s="31" t="s">
        <v>83</v>
      </c>
      <c r="U2" s="31"/>
      <c r="V2" s="31" t="s">
        <v>84</v>
      </c>
      <c r="W2" s="31"/>
      <c r="X2" s="31" t="s">
        <v>85</v>
      </c>
      <c r="Y2" s="31"/>
      <c r="Z2" s="11"/>
      <c r="AA2" s="36" t="s">
        <v>122</v>
      </c>
      <c r="AB2" s="36"/>
      <c r="AC2" s="36"/>
      <c r="AD2" s="36"/>
      <c r="AE2" s="36"/>
      <c r="AF2" s="36"/>
      <c r="AG2" s="36"/>
      <c r="AH2" s="36"/>
      <c r="AI2" s="36"/>
      <c r="AO2" s="14"/>
      <c r="AP2" s="14"/>
      <c r="AQ2" s="14"/>
      <c r="AR2" s="14"/>
      <c r="AS2" s="14"/>
      <c r="AT2" s="14"/>
      <c r="AU2" s="14"/>
      <c r="AV2" s="14"/>
      <c r="AW2" s="35"/>
    </row>
    <row r="3" spans="1:49" ht="14.4" x14ac:dyDescent="0.3">
      <c r="A3" s="25" t="s">
        <v>15</v>
      </c>
      <c r="B3" s="25" t="s">
        <v>16</v>
      </c>
      <c r="C3" s="25" t="s">
        <v>12</v>
      </c>
      <c r="D3" s="25" t="s">
        <v>17</v>
      </c>
      <c r="E3" s="25">
        <v>1101.28</v>
      </c>
      <c r="F3" s="25">
        <v>3</v>
      </c>
      <c r="G3" s="25">
        <v>0.2</v>
      </c>
      <c r="H3" s="26">
        <v>45393</v>
      </c>
      <c r="I3" s="25">
        <v>440.51</v>
      </c>
      <c r="J3" s="27">
        <f t="shared" ref="J3:J66" ca="1" si="0">NOW()</f>
        <v>46324.918643055556</v>
      </c>
      <c r="K3" s="28">
        <f t="shared" ref="K3:K66" si="1">(ROW()-1)*0.2</f>
        <v>0.4</v>
      </c>
      <c r="L3" s="29">
        <f t="shared" ref="L3:L66" si="2">I3 * (1 - K3)</f>
        <v>264.30599999999998</v>
      </c>
      <c r="M3" s="30">
        <f t="shared" ref="M3:M66" si="3">ROW()-1</f>
        <v>2</v>
      </c>
      <c r="N3" s="30" t="str">
        <f t="shared" ref="N3:N66" si="4">INDEX($B$2:$B$201, MATCH(LARGE($E$2:$E$201, M3), $E$2:$E$201, 0))</f>
        <v>James Wilson</v>
      </c>
      <c r="P3" s="32" t="s">
        <v>86</v>
      </c>
      <c r="Q3" s="33">
        <v>976.08879999999965</v>
      </c>
      <c r="R3" s="33" t="s">
        <v>86</v>
      </c>
      <c r="S3" s="33">
        <v>9.9949999999999992</v>
      </c>
      <c r="T3" s="33" t="s">
        <v>86</v>
      </c>
      <c r="U3" s="33">
        <v>9.7250000000000003E-2</v>
      </c>
      <c r="V3" s="33" t="s">
        <v>86</v>
      </c>
      <c r="W3" s="33">
        <v>45564.144999999997</v>
      </c>
      <c r="X3" s="33" t="s">
        <v>86</v>
      </c>
      <c r="Y3" s="33">
        <v>341.43505000000005</v>
      </c>
      <c r="Z3" s="8"/>
      <c r="AA3" s="36"/>
      <c r="AB3" s="36"/>
      <c r="AC3" s="36"/>
      <c r="AD3" s="36"/>
      <c r="AE3" s="36"/>
      <c r="AF3" s="36"/>
      <c r="AG3" s="36"/>
      <c r="AH3" s="36"/>
      <c r="AI3" s="36"/>
      <c r="AO3" s="8"/>
      <c r="AP3" s="8"/>
      <c r="AQ3" s="8"/>
      <c r="AR3" s="8"/>
      <c r="AS3" s="8"/>
      <c r="AT3" s="8"/>
      <c r="AU3" s="8"/>
      <c r="AV3" s="8"/>
      <c r="AW3" s="35"/>
    </row>
    <row r="4" spans="1:49" ht="18" x14ac:dyDescent="0.35">
      <c r="A4" s="25" t="s">
        <v>18</v>
      </c>
      <c r="B4" s="25" t="s">
        <v>19</v>
      </c>
      <c r="C4" s="25" t="s">
        <v>20</v>
      </c>
      <c r="D4" s="25" t="s">
        <v>13</v>
      </c>
      <c r="E4" s="25">
        <v>713.34</v>
      </c>
      <c r="F4" s="25">
        <v>17</v>
      </c>
      <c r="G4" s="25">
        <v>0</v>
      </c>
      <c r="H4" s="26">
        <v>45396</v>
      </c>
      <c r="I4" s="25">
        <v>285.33999999999997</v>
      </c>
      <c r="J4" s="27">
        <f t="shared" ca="1" si="0"/>
        <v>46324.918643055556</v>
      </c>
      <c r="K4" s="28">
        <f t="shared" si="1"/>
        <v>0.60000000000000009</v>
      </c>
      <c r="L4" s="29">
        <f t="shared" si="2"/>
        <v>114.13599999999997</v>
      </c>
      <c r="M4" s="30">
        <f t="shared" si="3"/>
        <v>3</v>
      </c>
      <c r="N4" s="30" t="str">
        <f t="shared" si="4"/>
        <v>Linda Taylor</v>
      </c>
      <c r="P4" s="32" t="s">
        <v>87</v>
      </c>
      <c r="Q4" s="33">
        <v>21.161850448978406</v>
      </c>
      <c r="R4" s="33" t="s">
        <v>87</v>
      </c>
      <c r="S4" s="33">
        <v>0.39927682743257598</v>
      </c>
      <c r="T4" s="33" t="s">
        <v>87</v>
      </c>
      <c r="U4" s="33">
        <v>5.1142413732752686E-3</v>
      </c>
      <c r="V4" s="33" t="s">
        <v>87</v>
      </c>
      <c r="W4" s="33">
        <v>7.9187976775702165</v>
      </c>
      <c r="X4" s="33" t="s">
        <v>87</v>
      </c>
      <c r="Y4" s="33">
        <v>9.6001196472332531</v>
      </c>
      <c r="Z4" s="8"/>
      <c r="AA4" s="37" t="s">
        <v>99</v>
      </c>
      <c r="AB4" s="37"/>
      <c r="AC4" s="37"/>
      <c r="AD4" s="37"/>
      <c r="AE4" s="37"/>
      <c r="AF4" s="37"/>
      <c r="AG4" s="37"/>
      <c r="AH4" s="37"/>
      <c r="AI4" s="37"/>
      <c r="AO4" s="8"/>
      <c r="AP4" s="8"/>
      <c r="AQ4" s="8"/>
      <c r="AR4" s="8"/>
      <c r="AS4" s="8"/>
      <c r="AT4" s="8"/>
      <c r="AU4" s="8"/>
      <c r="AV4" s="8"/>
      <c r="AW4" s="35"/>
    </row>
    <row r="5" spans="1:49" ht="14.4" x14ac:dyDescent="0.3">
      <c r="A5" s="25" t="s">
        <v>21</v>
      </c>
      <c r="B5" s="25" t="s">
        <v>16</v>
      </c>
      <c r="C5" s="25" t="s">
        <v>22</v>
      </c>
      <c r="D5" s="25" t="s">
        <v>23</v>
      </c>
      <c r="E5" s="25">
        <v>760.93</v>
      </c>
      <c r="F5" s="25">
        <v>4</v>
      </c>
      <c r="G5" s="25">
        <v>0.15</v>
      </c>
      <c r="H5" s="26">
        <v>45396</v>
      </c>
      <c r="I5" s="25">
        <v>161.69999999999999</v>
      </c>
      <c r="J5" s="27">
        <f t="shared" ca="1" si="0"/>
        <v>46324.918643055556</v>
      </c>
      <c r="K5" s="28">
        <f t="shared" si="1"/>
        <v>0.8</v>
      </c>
      <c r="L5" s="29">
        <f t="shared" si="2"/>
        <v>32.339999999999989</v>
      </c>
      <c r="M5" s="30">
        <f t="shared" si="3"/>
        <v>4</v>
      </c>
      <c r="N5" s="30" t="str">
        <f t="shared" si="4"/>
        <v>Mary Jackson</v>
      </c>
      <c r="P5" s="32" t="s">
        <v>88</v>
      </c>
      <c r="Q5" s="33">
        <v>976.72</v>
      </c>
      <c r="R5" s="33" t="s">
        <v>88</v>
      </c>
      <c r="S5" s="33">
        <v>10</v>
      </c>
      <c r="T5" s="33" t="s">
        <v>88</v>
      </c>
      <c r="U5" s="33">
        <v>0.1</v>
      </c>
      <c r="V5" s="33" t="s">
        <v>88</v>
      </c>
      <c r="W5" s="33">
        <v>45564.5</v>
      </c>
      <c r="X5" s="33" t="s">
        <v>88</v>
      </c>
      <c r="Y5" s="33">
        <v>332.255</v>
      </c>
      <c r="AA5" s="32" t="s">
        <v>100</v>
      </c>
      <c r="AB5" s="33">
        <v>0.77340306414342619</v>
      </c>
      <c r="AC5" s="34"/>
      <c r="AD5" s="24"/>
      <c r="AE5" s="24"/>
      <c r="AF5" s="24"/>
      <c r="AG5" s="24"/>
      <c r="AH5" s="24"/>
      <c r="AI5" s="24"/>
      <c r="AO5" s="6"/>
      <c r="AP5" s="6"/>
      <c r="AQ5" s="7"/>
      <c r="AR5" s="7"/>
      <c r="AS5" s="7"/>
      <c r="AT5" s="7"/>
      <c r="AU5" s="7"/>
      <c r="AV5" s="7"/>
      <c r="AW5" s="7"/>
    </row>
    <row r="6" spans="1:49" ht="14.4" x14ac:dyDescent="0.3">
      <c r="A6" s="25" t="s">
        <v>24</v>
      </c>
      <c r="B6" s="25" t="s">
        <v>25</v>
      </c>
      <c r="C6" s="25" t="s">
        <v>26</v>
      </c>
      <c r="D6" s="25" t="s">
        <v>13</v>
      </c>
      <c r="E6" s="25">
        <v>847</v>
      </c>
      <c r="F6" s="25">
        <v>12</v>
      </c>
      <c r="G6" s="25">
        <v>0.2</v>
      </c>
      <c r="H6" s="26">
        <v>45397</v>
      </c>
      <c r="I6" s="25">
        <v>271.04000000000002</v>
      </c>
      <c r="J6" s="27">
        <f t="shared" ca="1" si="0"/>
        <v>46324.918643055556</v>
      </c>
      <c r="K6" s="28">
        <f t="shared" si="1"/>
        <v>1</v>
      </c>
      <c r="L6" s="29">
        <f t="shared" si="2"/>
        <v>0</v>
      </c>
      <c r="M6" s="30">
        <f t="shared" si="3"/>
        <v>5</v>
      </c>
      <c r="N6" s="30" t="str">
        <f t="shared" si="4"/>
        <v>Mary Davis</v>
      </c>
      <c r="P6" s="32" t="s">
        <v>89</v>
      </c>
      <c r="Q6" s="33" t="e">
        <v>#N/A</v>
      </c>
      <c r="R6" s="33" t="s">
        <v>89</v>
      </c>
      <c r="S6" s="33">
        <v>8</v>
      </c>
      <c r="T6" s="33" t="s">
        <v>89</v>
      </c>
      <c r="U6" s="33">
        <v>0.2</v>
      </c>
      <c r="V6" s="33" t="s">
        <v>89</v>
      </c>
      <c r="W6" s="33">
        <v>45429</v>
      </c>
      <c r="X6" s="33" t="s">
        <v>89</v>
      </c>
      <c r="Y6" s="33" t="e">
        <v>#N/A</v>
      </c>
      <c r="AA6" s="32" t="s">
        <v>101</v>
      </c>
      <c r="AB6" s="33">
        <v>0.59815229962644056</v>
      </c>
      <c r="AC6" s="24"/>
      <c r="AD6" s="24"/>
      <c r="AE6" s="24"/>
      <c r="AF6" s="24"/>
      <c r="AG6" s="24"/>
      <c r="AH6" s="24"/>
      <c r="AI6" s="24"/>
      <c r="AO6" s="6"/>
      <c r="AP6" s="6"/>
      <c r="AQ6" s="7"/>
      <c r="AR6" s="7"/>
      <c r="AS6" s="7"/>
      <c r="AT6" s="7"/>
      <c r="AU6" s="7"/>
      <c r="AV6" s="7"/>
      <c r="AW6" s="7"/>
    </row>
    <row r="7" spans="1:49" ht="14.4" x14ac:dyDescent="0.3">
      <c r="A7" s="25" t="s">
        <v>27</v>
      </c>
      <c r="B7" s="25" t="s">
        <v>28</v>
      </c>
      <c r="C7" s="25" t="s">
        <v>26</v>
      </c>
      <c r="D7" s="25" t="s">
        <v>29</v>
      </c>
      <c r="E7" s="25">
        <v>965.64</v>
      </c>
      <c r="F7" s="25">
        <v>8</v>
      </c>
      <c r="G7" s="25">
        <v>0.1</v>
      </c>
      <c r="H7" s="26">
        <v>45398</v>
      </c>
      <c r="I7" s="25">
        <v>304.18</v>
      </c>
      <c r="J7" s="27">
        <f t="shared" ca="1" si="0"/>
        <v>46324.918643055556</v>
      </c>
      <c r="K7" s="28">
        <f t="shared" si="1"/>
        <v>1.2000000000000002</v>
      </c>
      <c r="L7" s="29">
        <f t="shared" si="2"/>
        <v>-60.836000000000055</v>
      </c>
      <c r="M7" s="30">
        <f t="shared" si="3"/>
        <v>6</v>
      </c>
      <c r="N7" s="30" t="str">
        <f t="shared" si="4"/>
        <v>Emma Davis</v>
      </c>
      <c r="P7" s="32" t="s">
        <v>90</v>
      </c>
      <c r="Q7" s="33">
        <v>299.27375909856431</v>
      </c>
      <c r="R7" s="33" t="s">
        <v>90</v>
      </c>
      <c r="S7" s="33">
        <v>5.6466270449645082</v>
      </c>
      <c r="T7" s="33" t="s">
        <v>90</v>
      </c>
      <c r="U7" s="33">
        <v>7.232629511335488E-2</v>
      </c>
      <c r="V7" s="33" t="s">
        <v>90</v>
      </c>
      <c r="W7" s="33">
        <v>111.98871073308368</v>
      </c>
      <c r="X7" s="33" t="s">
        <v>90</v>
      </c>
      <c r="Y7" s="33">
        <v>135.7661940552168</v>
      </c>
      <c r="AA7" s="32" t="s">
        <v>102</v>
      </c>
      <c r="AB7" s="33">
        <v>0.59612276578617007</v>
      </c>
      <c r="AC7" s="24"/>
      <c r="AD7" s="24"/>
      <c r="AE7" s="24"/>
      <c r="AF7" s="24"/>
      <c r="AG7" s="24"/>
      <c r="AH7" s="24"/>
      <c r="AI7" s="24"/>
      <c r="AO7" s="6"/>
      <c r="AP7" s="6"/>
      <c r="AQ7" s="7"/>
      <c r="AR7" s="7"/>
      <c r="AS7" s="7"/>
      <c r="AT7" s="7"/>
      <c r="AU7" s="7"/>
      <c r="AV7" s="7"/>
      <c r="AW7" s="7"/>
    </row>
    <row r="8" spans="1:49" ht="14.4" x14ac:dyDescent="0.3">
      <c r="A8" s="25" t="s">
        <v>30</v>
      </c>
      <c r="B8" s="25" t="s">
        <v>31</v>
      </c>
      <c r="C8" s="25" t="s">
        <v>12</v>
      </c>
      <c r="D8" s="25" t="s">
        <v>23</v>
      </c>
      <c r="E8" s="25">
        <v>1317.53</v>
      </c>
      <c r="F8" s="25">
        <v>12</v>
      </c>
      <c r="G8" s="25">
        <v>0.05</v>
      </c>
      <c r="H8" s="26">
        <v>45398</v>
      </c>
      <c r="I8" s="25">
        <v>312.91000000000003</v>
      </c>
      <c r="J8" s="27">
        <f t="shared" ca="1" si="0"/>
        <v>46324.918643055556</v>
      </c>
      <c r="K8" s="28">
        <f t="shared" si="1"/>
        <v>1.4000000000000001</v>
      </c>
      <c r="L8" s="29">
        <f t="shared" si="2"/>
        <v>-125.16400000000006</v>
      </c>
      <c r="M8" s="30">
        <f t="shared" si="3"/>
        <v>7</v>
      </c>
      <c r="N8" s="30" t="str">
        <f t="shared" si="4"/>
        <v>Emma Davis</v>
      </c>
      <c r="P8" s="32" t="s">
        <v>91</v>
      </c>
      <c r="Q8" s="33">
        <v>89564.782884985514</v>
      </c>
      <c r="R8" s="33" t="s">
        <v>91</v>
      </c>
      <c r="S8" s="33">
        <v>31.884396984924617</v>
      </c>
      <c r="T8" s="33" t="s">
        <v>91</v>
      </c>
      <c r="U8" s="33">
        <v>5.2310929648241022E-3</v>
      </c>
      <c r="V8" s="33" t="s">
        <v>91</v>
      </c>
      <c r="W8" s="33">
        <v>12541.471331658293</v>
      </c>
      <c r="X8" s="33" t="s">
        <v>91</v>
      </c>
      <c r="Y8" s="33">
        <v>18432.459448238787</v>
      </c>
      <c r="AA8" s="32" t="s">
        <v>87</v>
      </c>
      <c r="AB8" s="33">
        <v>86.281230529665166</v>
      </c>
      <c r="AC8" s="24"/>
      <c r="AD8" s="24"/>
      <c r="AE8" s="24"/>
      <c r="AF8" s="24"/>
      <c r="AG8" s="24"/>
      <c r="AH8" s="24"/>
      <c r="AI8" s="24"/>
      <c r="AO8" s="6"/>
      <c r="AP8" s="6"/>
      <c r="AQ8" s="7"/>
      <c r="AR8" s="7"/>
      <c r="AS8" s="7"/>
      <c r="AT8" s="7"/>
      <c r="AU8" s="7"/>
      <c r="AV8" s="7"/>
      <c r="AW8" s="7"/>
    </row>
    <row r="9" spans="1:49" ht="14.4" x14ac:dyDescent="0.3">
      <c r="A9" s="25" t="s">
        <v>32</v>
      </c>
      <c r="B9" s="25" t="s">
        <v>33</v>
      </c>
      <c r="C9" s="25" t="s">
        <v>20</v>
      </c>
      <c r="D9" s="25" t="s">
        <v>29</v>
      </c>
      <c r="E9" s="25">
        <v>1074.47</v>
      </c>
      <c r="F9" s="25">
        <v>6</v>
      </c>
      <c r="G9" s="25">
        <v>0.2</v>
      </c>
      <c r="H9" s="26">
        <v>45401</v>
      </c>
      <c r="I9" s="25">
        <v>300.85000000000002</v>
      </c>
      <c r="J9" s="27">
        <f t="shared" ca="1" si="0"/>
        <v>46324.918643055556</v>
      </c>
      <c r="K9" s="28">
        <f t="shared" si="1"/>
        <v>1.6</v>
      </c>
      <c r="L9" s="29">
        <f t="shared" si="2"/>
        <v>-180.51000000000005</v>
      </c>
      <c r="M9" s="30">
        <f t="shared" si="3"/>
        <v>8</v>
      </c>
      <c r="N9" s="30" t="str">
        <f t="shared" si="4"/>
        <v>Mary Jackson</v>
      </c>
      <c r="P9" s="32" t="s">
        <v>92</v>
      </c>
      <c r="Q9" s="33">
        <v>-8.8595231919740502E-2</v>
      </c>
      <c r="R9" s="33" t="s">
        <v>92</v>
      </c>
      <c r="S9" s="33">
        <v>-1.2091053826620759</v>
      </c>
      <c r="T9" s="33" t="s">
        <v>92</v>
      </c>
      <c r="U9" s="33">
        <v>-1.3257012415855784</v>
      </c>
      <c r="V9" s="33" t="s">
        <v>92</v>
      </c>
      <c r="W9" s="33">
        <v>-1.2820132193662439</v>
      </c>
      <c r="X9" s="33" t="s">
        <v>92</v>
      </c>
      <c r="Y9" s="33">
        <v>0.26450643813582442</v>
      </c>
      <c r="AA9" s="32" t="s">
        <v>103</v>
      </c>
      <c r="AB9" s="33">
        <v>200</v>
      </c>
      <c r="AC9" s="24"/>
      <c r="AD9" s="24"/>
      <c r="AE9" s="24"/>
      <c r="AF9" s="24"/>
      <c r="AG9" s="24"/>
      <c r="AH9" s="24"/>
      <c r="AI9" s="24"/>
      <c r="AO9" s="6"/>
      <c r="AP9" s="6"/>
      <c r="AQ9" s="7"/>
      <c r="AR9" s="7"/>
      <c r="AS9" s="7"/>
      <c r="AT9" s="7"/>
      <c r="AU9" s="7"/>
      <c r="AV9" s="7"/>
      <c r="AW9" s="7"/>
    </row>
    <row r="10" spans="1:49" ht="14.4" x14ac:dyDescent="0.3">
      <c r="A10" s="25" t="s">
        <v>34</v>
      </c>
      <c r="B10" s="25" t="s">
        <v>35</v>
      </c>
      <c r="C10" s="25" t="s">
        <v>36</v>
      </c>
      <c r="D10" s="25" t="s">
        <v>13</v>
      </c>
      <c r="E10" s="25">
        <v>501.54</v>
      </c>
      <c r="F10" s="25">
        <v>11</v>
      </c>
      <c r="G10" s="25">
        <v>0.05</v>
      </c>
      <c r="H10" s="26">
        <v>45401</v>
      </c>
      <c r="I10" s="25">
        <v>190.59</v>
      </c>
      <c r="J10" s="27">
        <f t="shared" ca="1" si="0"/>
        <v>46324.918643055556</v>
      </c>
      <c r="K10" s="28">
        <f t="shared" si="1"/>
        <v>1.8</v>
      </c>
      <c r="L10" s="29">
        <f t="shared" si="2"/>
        <v>-152.47200000000001</v>
      </c>
      <c r="M10" s="30">
        <f t="shared" si="3"/>
        <v>9</v>
      </c>
      <c r="N10" s="30" t="str">
        <f t="shared" si="4"/>
        <v>Sarah Anderson</v>
      </c>
      <c r="P10" s="32" t="s">
        <v>93</v>
      </c>
      <c r="Q10" s="33">
        <v>0.14685796564193557</v>
      </c>
      <c r="R10" s="33" t="s">
        <v>93</v>
      </c>
      <c r="S10" s="33">
        <v>6.084586432077814E-2</v>
      </c>
      <c r="T10" s="33" t="s">
        <v>93</v>
      </c>
      <c r="U10" s="33">
        <v>9.6827385576684841E-2</v>
      </c>
      <c r="V10" s="33" t="s">
        <v>93</v>
      </c>
      <c r="W10" s="33">
        <v>6.0697356405978772E-2</v>
      </c>
      <c r="X10" s="33" t="s">
        <v>93</v>
      </c>
      <c r="Y10" s="33">
        <v>0.57339636063424715</v>
      </c>
      <c r="AA10" s="23"/>
      <c r="AB10" s="24"/>
      <c r="AC10" s="24"/>
      <c r="AD10" s="24"/>
      <c r="AE10" s="24"/>
      <c r="AF10" s="24"/>
      <c r="AG10" s="24"/>
      <c r="AH10" s="24"/>
      <c r="AI10" s="24"/>
      <c r="AO10" s="7"/>
      <c r="AP10" s="7"/>
      <c r="AQ10" s="7"/>
      <c r="AR10" s="7"/>
      <c r="AS10" s="7"/>
      <c r="AT10" s="7"/>
      <c r="AU10" s="7"/>
      <c r="AV10" s="7"/>
      <c r="AW10" s="7"/>
    </row>
    <row r="11" spans="1:49" ht="14.4" x14ac:dyDescent="0.3">
      <c r="A11" s="25" t="s">
        <v>37</v>
      </c>
      <c r="B11" s="25" t="s">
        <v>38</v>
      </c>
      <c r="C11" s="25" t="s">
        <v>36</v>
      </c>
      <c r="D11" s="25" t="s">
        <v>17</v>
      </c>
      <c r="E11" s="25">
        <v>737.31</v>
      </c>
      <c r="F11" s="25">
        <v>2</v>
      </c>
      <c r="G11" s="25">
        <v>0.05</v>
      </c>
      <c r="H11" s="26">
        <v>45401</v>
      </c>
      <c r="I11" s="25">
        <v>350.22</v>
      </c>
      <c r="J11" s="27">
        <f t="shared" ca="1" si="0"/>
        <v>46324.918643055556</v>
      </c>
      <c r="K11" s="28">
        <f t="shared" si="1"/>
        <v>2</v>
      </c>
      <c r="L11" s="29">
        <f t="shared" si="2"/>
        <v>-350.22</v>
      </c>
      <c r="M11" s="30">
        <f t="shared" si="3"/>
        <v>10</v>
      </c>
      <c r="N11" s="30" t="str">
        <f t="shared" si="4"/>
        <v>David Brown</v>
      </c>
      <c r="P11" s="32" t="s">
        <v>94</v>
      </c>
      <c r="Q11" s="33">
        <v>1665.15</v>
      </c>
      <c r="R11" s="33" t="s">
        <v>94</v>
      </c>
      <c r="S11" s="33">
        <v>18</v>
      </c>
      <c r="T11" s="33" t="s">
        <v>94</v>
      </c>
      <c r="U11" s="33">
        <v>0.2</v>
      </c>
      <c r="V11" s="33" t="s">
        <v>94</v>
      </c>
      <c r="W11" s="33">
        <v>362</v>
      </c>
      <c r="X11" s="33" t="s">
        <v>94</v>
      </c>
      <c r="Y11" s="33">
        <v>704.83</v>
      </c>
      <c r="AA11" s="23" t="s">
        <v>104</v>
      </c>
      <c r="AB11" s="24"/>
      <c r="AC11" s="24"/>
      <c r="AD11" s="24"/>
      <c r="AE11" s="24"/>
      <c r="AF11" s="24"/>
      <c r="AG11" s="24"/>
      <c r="AH11" s="24"/>
      <c r="AI11" s="24"/>
      <c r="AO11" s="7"/>
      <c r="AP11" s="7"/>
      <c r="AQ11" s="7"/>
      <c r="AR11" s="7"/>
      <c r="AS11" s="7"/>
      <c r="AT11" s="7"/>
      <c r="AU11" s="7"/>
      <c r="AV11" s="7"/>
      <c r="AW11" s="7"/>
    </row>
    <row r="12" spans="1:49" ht="14.4" x14ac:dyDescent="0.3">
      <c r="A12" s="25" t="s">
        <v>39</v>
      </c>
      <c r="B12" s="25" t="s">
        <v>40</v>
      </c>
      <c r="C12" s="25" t="s">
        <v>12</v>
      </c>
      <c r="D12" s="25" t="s">
        <v>41</v>
      </c>
      <c r="E12" s="25">
        <v>1572.82</v>
      </c>
      <c r="F12" s="25">
        <v>6</v>
      </c>
      <c r="G12" s="25">
        <v>0.05</v>
      </c>
      <c r="H12" s="26">
        <v>45402</v>
      </c>
      <c r="I12" s="25">
        <v>672.38</v>
      </c>
      <c r="J12" s="27">
        <f t="shared" ca="1" si="0"/>
        <v>46324.918643055556</v>
      </c>
      <c r="K12" s="28">
        <f t="shared" si="1"/>
        <v>2.2000000000000002</v>
      </c>
      <c r="L12" s="29">
        <f>I12 * (1 - K12)</f>
        <v>-806.85600000000011</v>
      </c>
      <c r="M12" s="30">
        <f t="shared" si="3"/>
        <v>11</v>
      </c>
      <c r="N12" s="30" t="str">
        <f t="shared" si="4"/>
        <v>Linda Wilson</v>
      </c>
      <c r="P12" s="32" t="s">
        <v>95</v>
      </c>
      <c r="Q12" s="33">
        <v>258.51</v>
      </c>
      <c r="R12" s="33" t="s">
        <v>95</v>
      </c>
      <c r="S12" s="33">
        <v>1</v>
      </c>
      <c r="T12" s="33" t="s">
        <v>95</v>
      </c>
      <c r="U12" s="33">
        <v>0</v>
      </c>
      <c r="V12" s="33" t="s">
        <v>95</v>
      </c>
      <c r="W12" s="33">
        <v>45392</v>
      </c>
      <c r="X12" s="33" t="s">
        <v>95</v>
      </c>
      <c r="Y12" s="33">
        <v>64.63</v>
      </c>
      <c r="Z12" s="8"/>
      <c r="AA12" s="31"/>
      <c r="AB12" s="31" t="s">
        <v>109</v>
      </c>
      <c r="AC12" s="31" t="s">
        <v>110</v>
      </c>
      <c r="AD12" s="31" t="s">
        <v>111</v>
      </c>
      <c r="AE12" s="31" t="s">
        <v>112</v>
      </c>
      <c r="AF12" s="31" t="s">
        <v>113</v>
      </c>
      <c r="AG12" s="24"/>
      <c r="AH12" s="24"/>
      <c r="AI12" s="24"/>
      <c r="AO12" s="8"/>
      <c r="AP12" s="8"/>
      <c r="AQ12" s="8"/>
      <c r="AR12" s="8"/>
      <c r="AS12" s="8"/>
      <c r="AT12" s="8"/>
      <c r="AU12" s="7"/>
      <c r="AV12" s="7"/>
      <c r="AW12" s="7"/>
    </row>
    <row r="13" spans="1:49" ht="14.4" x14ac:dyDescent="0.3">
      <c r="A13" s="25" t="s">
        <v>39</v>
      </c>
      <c r="B13" s="25" t="s">
        <v>38</v>
      </c>
      <c r="C13" s="25" t="s">
        <v>36</v>
      </c>
      <c r="D13" s="25" t="s">
        <v>13</v>
      </c>
      <c r="E13" s="25">
        <v>1343.13</v>
      </c>
      <c r="F13" s="25">
        <v>14</v>
      </c>
      <c r="G13" s="25">
        <v>0.15</v>
      </c>
      <c r="H13" s="26">
        <v>45404</v>
      </c>
      <c r="I13" s="25">
        <v>456.66</v>
      </c>
      <c r="J13" s="27">
        <f t="shared" ca="1" si="0"/>
        <v>46324.918643055556</v>
      </c>
      <c r="K13" s="28">
        <f t="shared" si="1"/>
        <v>2.4000000000000004</v>
      </c>
      <c r="L13" s="29">
        <f t="shared" si="2"/>
        <v>-639.32400000000018</v>
      </c>
      <c r="M13" s="30">
        <f t="shared" si="3"/>
        <v>12</v>
      </c>
      <c r="N13" s="30" t="str">
        <f t="shared" si="4"/>
        <v>David Thomas</v>
      </c>
      <c r="P13" s="32" t="s">
        <v>96</v>
      </c>
      <c r="Q13" s="33">
        <v>1923.66</v>
      </c>
      <c r="R13" s="33" t="s">
        <v>96</v>
      </c>
      <c r="S13" s="33">
        <v>19</v>
      </c>
      <c r="T13" s="33" t="s">
        <v>96</v>
      </c>
      <c r="U13" s="33">
        <v>0.2</v>
      </c>
      <c r="V13" s="33" t="s">
        <v>96</v>
      </c>
      <c r="W13" s="33">
        <v>45754</v>
      </c>
      <c r="X13" s="33" t="s">
        <v>96</v>
      </c>
      <c r="Y13" s="33">
        <v>769.46</v>
      </c>
      <c r="Z13" s="6"/>
      <c r="AA13" s="32" t="s">
        <v>105</v>
      </c>
      <c r="AB13" s="33">
        <v>1</v>
      </c>
      <c r="AC13" s="33">
        <v>2194058.1833402822</v>
      </c>
      <c r="AD13" s="33">
        <v>2194058.1833402822</v>
      </c>
      <c r="AE13" s="33">
        <v>294.72398427548114</v>
      </c>
      <c r="AF13" s="33">
        <v>4.6269367558910499E-41</v>
      </c>
      <c r="AG13" s="24"/>
      <c r="AH13" s="24"/>
      <c r="AI13" s="24"/>
      <c r="AO13" s="6"/>
      <c r="AP13" s="6"/>
      <c r="AQ13" s="6"/>
      <c r="AR13" s="6"/>
      <c r="AS13" s="6"/>
      <c r="AT13" s="6"/>
      <c r="AU13" s="7"/>
      <c r="AV13" s="7"/>
      <c r="AW13" s="7"/>
    </row>
    <row r="14" spans="1:49" ht="14.4" x14ac:dyDescent="0.3">
      <c r="A14" s="25" t="s">
        <v>27</v>
      </c>
      <c r="B14" s="25" t="s">
        <v>28</v>
      </c>
      <c r="C14" s="25" t="s">
        <v>36</v>
      </c>
      <c r="D14" s="25" t="s">
        <v>13</v>
      </c>
      <c r="E14" s="25">
        <v>1191.58</v>
      </c>
      <c r="F14" s="25">
        <v>14</v>
      </c>
      <c r="G14" s="25">
        <v>0.05</v>
      </c>
      <c r="H14" s="26">
        <v>45406</v>
      </c>
      <c r="I14" s="25">
        <v>452.8</v>
      </c>
      <c r="J14" s="27">
        <f t="shared" ca="1" si="0"/>
        <v>46324.918643055556</v>
      </c>
      <c r="K14" s="28">
        <f t="shared" si="1"/>
        <v>2.6</v>
      </c>
      <c r="L14" s="29">
        <f t="shared" si="2"/>
        <v>-724.48</v>
      </c>
      <c r="M14" s="30">
        <f t="shared" si="3"/>
        <v>13</v>
      </c>
      <c r="N14" s="30" t="str">
        <f t="shared" si="4"/>
        <v>David Anderson</v>
      </c>
      <c r="P14" s="32" t="s">
        <v>97</v>
      </c>
      <c r="Q14" s="33">
        <v>195217.75999999992</v>
      </c>
      <c r="R14" s="33" t="s">
        <v>97</v>
      </c>
      <c r="S14" s="33">
        <v>1999</v>
      </c>
      <c r="T14" s="33" t="s">
        <v>97</v>
      </c>
      <c r="U14" s="33">
        <v>19.45</v>
      </c>
      <c r="V14" s="33" t="s">
        <v>97</v>
      </c>
      <c r="W14" s="33">
        <v>9112829</v>
      </c>
      <c r="X14" s="33" t="s">
        <v>97</v>
      </c>
      <c r="Y14" s="33">
        <v>68287.010000000009</v>
      </c>
      <c r="Z14" s="6"/>
      <c r="AA14" s="32" t="s">
        <v>106</v>
      </c>
      <c r="AB14" s="33">
        <v>198</v>
      </c>
      <c r="AC14" s="33">
        <v>1474001.2468592182</v>
      </c>
      <c r="AD14" s="33">
        <v>7444.4507417132236</v>
      </c>
      <c r="AE14" s="33"/>
      <c r="AF14" s="33"/>
      <c r="AG14" s="24"/>
      <c r="AH14" s="24"/>
      <c r="AI14" s="24"/>
      <c r="AO14" s="6"/>
      <c r="AP14" s="6"/>
      <c r="AQ14" s="6"/>
      <c r="AR14" s="6"/>
      <c r="AS14" s="6"/>
      <c r="AT14" s="6"/>
      <c r="AU14" s="7"/>
      <c r="AV14" s="7"/>
      <c r="AW14" s="7"/>
    </row>
    <row r="15" spans="1:49" ht="14.4" x14ac:dyDescent="0.3">
      <c r="A15" s="25" t="s">
        <v>42</v>
      </c>
      <c r="B15" s="25" t="s">
        <v>16</v>
      </c>
      <c r="C15" s="25" t="s">
        <v>12</v>
      </c>
      <c r="D15" s="25" t="s">
        <v>29</v>
      </c>
      <c r="E15" s="25">
        <v>822.28</v>
      </c>
      <c r="F15" s="25">
        <v>7</v>
      </c>
      <c r="G15" s="25">
        <v>0.05</v>
      </c>
      <c r="H15" s="26">
        <v>45406</v>
      </c>
      <c r="I15" s="25">
        <v>273.41000000000003</v>
      </c>
      <c r="J15" s="27">
        <f t="shared" ca="1" si="0"/>
        <v>46324.918643055556</v>
      </c>
      <c r="K15" s="28">
        <f t="shared" si="1"/>
        <v>2.8000000000000003</v>
      </c>
      <c r="L15" s="29">
        <f t="shared" si="2"/>
        <v>-492.13800000000009</v>
      </c>
      <c r="M15" s="30">
        <f t="shared" si="3"/>
        <v>14</v>
      </c>
      <c r="N15" s="30" t="str">
        <f t="shared" si="4"/>
        <v>David Brown</v>
      </c>
      <c r="P15" s="32" t="s">
        <v>98</v>
      </c>
      <c r="Q15" s="33">
        <v>200</v>
      </c>
      <c r="R15" s="33" t="s">
        <v>98</v>
      </c>
      <c r="S15" s="33">
        <v>200</v>
      </c>
      <c r="T15" s="33" t="s">
        <v>98</v>
      </c>
      <c r="U15" s="33">
        <v>200</v>
      </c>
      <c r="V15" s="33" t="s">
        <v>98</v>
      </c>
      <c r="W15" s="33">
        <v>200</v>
      </c>
      <c r="X15" s="33" t="s">
        <v>98</v>
      </c>
      <c r="Y15" s="33">
        <v>200</v>
      </c>
      <c r="Z15" s="6"/>
      <c r="AA15" s="32" t="s">
        <v>107</v>
      </c>
      <c r="AB15" s="33">
        <v>199</v>
      </c>
      <c r="AC15" s="33">
        <v>3668059.4301995002</v>
      </c>
      <c r="AD15" s="33"/>
      <c r="AE15" s="33"/>
      <c r="AF15" s="33"/>
      <c r="AG15" s="24"/>
      <c r="AH15" s="24"/>
      <c r="AI15" s="24"/>
      <c r="AO15" s="6"/>
      <c r="AP15" s="6"/>
      <c r="AQ15" s="6"/>
      <c r="AR15" s="6"/>
      <c r="AS15" s="6"/>
      <c r="AT15" s="6"/>
      <c r="AU15" s="7"/>
      <c r="AV15" s="7"/>
      <c r="AW15" s="7"/>
    </row>
    <row r="16" spans="1:49" ht="14.4" x14ac:dyDescent="0.3">
      <c r="A16" s="25" t="s">
        <v>43</v>
      </c>
      <c r="B16" s="25" t="s">
        <v>44</v>
      </c>
      <c r="C16" s="25" t="s">
        <v>26</v>
      </c>
      <c r="D16" s="25" t="s">
        <v>29</v>
      </c>
      <c r="E16" s="25">
        <v>521.66999999999996</v>
      </c>
      <c r="F16" s="25">
        <v>15</v>
      </c>
      <c r="G16" s="25">
        <v>0.15</v>
      </c>
      <c r="H16" s="26">
        <v>45409</v>
      </c>
      <c r="I16" s="25">
        <v>155.19999999999999</v>
      </c>
      <c r="J16" s="27">
        <f t="shared" ca="1" si="0"/>
        <v>46324.918643055556</v>
      </c>
      <c r="K16" s="28">
        <f t="shared" si="1"/>
        <v>3</v>
      </c>
      <c r="L16" s="29">
        <f t="shared" si="2"/>
        <v>-310.39999999999998</v>
      </c>
      <c r="M16" s="30">
        <f t="shared" si="3"/>
        <v>15</v>
      </c>
      <c r="N16" s="30" t="str">
        <f t="shared" si="4"/>
        <v>Sarah Davis</v>
      </c>
      <c r="P16"/>
      <c r="Q16" s="6"/>
      <c r="R16" s="6"/>
      <c r="S16" s="6"/>
      <c r="T16" s="6"/>
      <c r="U16" s="6"/>
      <c r="V16" s="6"/>
      <c r="W16" s="6"/>
      <c r="X16" s="6"/>
      <c r="Y16" s="6"/>
      <c r="AA16" s="23"/>
      <c r="AB16" s="24"/>
      <c r="AC16" s="24"/>
      <c r="AD16" s="24"/>
      <c r="AE16" s="24"/>
      <c r="AF16" s="24"/>
      <c r="AG16" s="24"/>
      <c r="AH16" s="24"/>
      <c r="AI16" s="24"/>
      <c r="AO16" s="7"/>
      <c r="AP16" s="7"/>
      <c r="AQ16" s="7"/>
      <c r="AR16" s="7"/>
      <c r="AS16" s="7"/>
      <c r="AT16" s="7"/>
      <c r="AU16" s="7"/>
      <c r="AV16" s="7"/>
      <c r="AW16" s="7"/>
    </row>
    <row r="17" spans="1:49" ht="14.4" x14ac:dyDescent="0.3">
      <c r="A17" s="25" t="s">
        <v>21</v>
      </c>
      <c r="B17" s="25" t="s">
        <v>45</v>
      </c>
      <c r="C17" s="25" t="s">
        <v>22</v>
      </c>
      <c r="D17" s="25" t="s">
        <v>23</v>
      </c>
      <c r="E17" s="25">
        <v>1502.93</v>
      </c>
      <c r="F17" s="25">
        <v>14</v>
      </c>
      <c r="G17" s="25">
        <v>0.2</v>
      </c>
      <c r="H17" s="26">
        <v>45410</v>
      </c>
      <c r="I17" s="25">
        <v>300.58999999999997</v>
      </c>
      <c r="J17" s="27">
        <f t="shared" ca="1" si="0"/>
        <v>46324.918643055556</v>
      </c>
      <c r="K17" s="28">
        <f t="shared" si="1"/>
        <v>3.2</v>
      </c>
      <c r="L17" s="29">
        <f t="shared" si="2"/>
        <v>-661.298</v>
      </c>
      <c r="M17" s="30">
        <f t="shared" si="3"/>
        <v>16</v>
      </c>
      <c r="N17" s="30" t="str">
        <f t="shared" si="4"/>
        <v>Michael Anderson</v>
      </c>
      <c r="O17"/>
      <c r="Q17" s="6"/>
      <c r="R17" s="6"/>
      <c r="S17" s="6"/>
      <c r="T17" s="6"/>
      <c r="U17" s="6"/>
      <c r="V17" s="6"/>
      <c r="W17" s="6"/>
      <c r="X17" s="6"/>
      <c r="Y17" s="6"/>
      <c r="Z17" s="8"/>
      <c r="AA17" s="31"/>
      <c r="AB17" s="31" t="s">
        <v>114</v>
      </c>
      <c r="AC17" s="31" t="s">
        <v>87</v>
      </c>
      <c r="AD17" s="31" t="s">
        <v>115</v>
      </c>
      <c r="AE17" s="31" t="s">
        <v>116</v>
      </c>
      <c r="AF17" s="31" t="s">
        <v>117</v>
      </c>
      <c r="AG17" s="31" t="s">
        <v>118</v>
      </c>
      <c r="AH17" s="31" t="s">
        <v>119</v>
      </c>
      <c r="AI17" s="31" t="s">
        <v>120</v>
      </c>
      <c r="AO17" s="8"/>
      <c r="AP17" s="8"/>
      <c r="AQ17" s="8"/>
      <c r="AR17" s="8"/>
      <c r="AS17" s="8"/>
      <c r="AT17" s="8"/>
      <c r="AU17" s="8"/>
      <c r="AV17" s="8"/>
      <c r="AW17" s="8"/>
    </row>
    <row r="18" spans="1:49" ht="14.4" x14ac:dyDescent="0.3">
      <c r="A18" s="25" t="s">
        <v>46</v>
      </c>
      <c r="B18" s="25" t="s">
        <v>16</v>
      </c>
      <c r="C18" s="25" t="s">
        <v>22</v>
      </c>
      <c r="D18" s="25" t="s">
        <v>13</v>
      </c>
      <c r="E18" s="25">
        <v>877.58</v>
      </c>
      <c r="F18" s="25">
        <v>10</v>
      </c>
      <c r="G18" s="25">
        <v>0.15</v>
      </c>
      <c r="H18" s="26">
        <v>45411</v>
      </c>
      <c r="I18" s="25">
        <v>298.38</v>
      </c>
      <c r="J18" s="27">
        <f t="shared" ca="1" si="0"/>
        <v>46324.918643055556</v>
      </c>
      <c r="K18" s="28">
        <f t="shared" si="1"/>
        <v>3.4000000000000004</v>
      </c>
      <c r="L18" s="29">
        <f t="shared" si="2"/>
        <v>-716.11200000000008</v>
      </c>
      <c r="M18" s="30">
        <f t="shared" si="3"/>
        <v>17</v>
      </c>
      <c r="N18" s="30" t="str">
        <f t="shared" si="4"/>
        <v>Linda Brown</v>
      </c>
      <c r="W18" s="6"/>
      <c r="X18" s="6"/>
      <c r="Y18" s="6"/>
      <c r="Z18" s="6"/>
      <c r="AA18" s="32" t="s">
        <v>108</v>
      </c>
      <c r="AB18" s="33">
        <v>-1.0315504901911368</v>
      </c>
      <c r="AC18" s="33">
        <v>20.860617005445505</v>
      </c>
      <c r="AD18" s="33">
        <v>-4.9449663445805959E-2</v>
      </c>
      <c r="AE18" s="33">
        <v>0.96061079696907459</v>
      </c>
      <c r="AF18" s="33">
        <v>-42.169051823378965</v>
      </c>
      <c r="AG18" s="33">
        <v>40.105950842996691</v>
      </c>
      <c r="AH18" s="33">
        <v>-42.169051823378965</v>
      </c>
      <c r="AI18" s="33">
        <v>40.105950842996691</v>
      </c>
      <c r="AO18" s="6"/>
      <c r="AP18" s="6"/>
      <c r="AQ18" s="6"/>
      <c r="AR18" s="6"/>
      <c r="AS18" s="6"/>
      <c r="AT18" s="6"/>
      <c r="AU18" s="6"/>
      <c r="AV18" s="6"/>
      <c r="AW18" s="6"/>
    </row>
    <row r="19" spans="1:49" ht="14.4" x14ac:dyDescent="0.3">
      <c r="A19" s="25" t="s">
        <v>30</v>
      </c>
      <c r="B19" s="25" t="s">
        <v>47</v>
      </c>
      <c r="C19" s="25" t="s">
        <v>12</v>
      </c>
      <c r="D19" s="25" t="s">
        <v>13</v>
      </c>
      <c r="E19" s="25">
        <v>636.70000000000005</v>
      </c>
      <c r="F19" s="25">
        <v>4</v>
      </c>
      <c r="G19" s="25">
        <v>0.2</v>
      </c>
      <c r="H19" s="26">
        <v>45411</v>
      </c>
      <c r="I19" s="25">
        <v>203.74</v>
      </c>
      <c r="J19" s="27">
        <f t="shared" ca="1" si="0"/>
        <v>46324.918643055556</v>
      </c>
      <c r="K19" s="28">
        <f t="shared" si="1"/>
        <v>3.6</v>
      </c>
      <c r="L19" s="29">
        <f t="shared" si="2"/>
        <v>-529.72400000000005</v>
      </c>
      <c r="M19" s="30">
        <f t="shared" si="3"/>
        <v>18</v>
      </c>
      <c r="N19" s="30" t="str">
        <f t="shared" si="4"/>
        <v>Lisa Davis</v>
      </c>
      <c r="Z19" s="6"/>
      <c r="AA19" s="32" t="s">
        <v>121</v>
      </c>
      <c r="AB19" s="33">
        <v>0.35085598819512254</v>
      </c>
      <c r="AC19" s="33">
        <v>2.0437188630135626E-2</v>
      </c>
      <c r="AD19" s="33">
        <v>17.167527028535048</v>
      </c>
      <c r="AE19" s="33">
        <v>4.6269367558907868E-41</v>
      </c>
      <c r="AF19" s="33">
        <v>0.31055349501865764</v>
      </c>
      <c r="AG19" s="33">
        <v>0.39115848137158743</v>
      </c>
      <c r="AH19" s="33">
        <v>0.31055349501865764</v>
      </c>
      <c r="AI19" s="33">
        <v>0.39115848137158743</v>
      </c>
      <c r="AO19" s="6"/>
      <c r="AP19" s="6"/>
      <c r="AQ19" s="6"/>
      <c r="AR19" s="6"/>
      <c r="AS19" s="6"/>
      <c r="AT19" s="6"/>
      <c r="AU19" s="6"/>
      <c r="AV19" s="6"/>
      <c r="AW19" s="6"/>
    </row>
    <row r="20" spans="1:49" ht="14.4" x14ac:dyDescent="0.3">
      <c r="A20" s="25" t="s">
        <v>48</v>
      </c>
      <c r="B20" s="25" t="s">
        <v>49</v>
      </c>
      <c r="C20" s="25" t="s">
        <v>12</v>
      </c>
      <c r="D20" s="25" t="s">
        <v>13</v>
      </c>
      <c r="E20" s="25">
        <v>1506.14</v>
      </c>
      <c r="F20" s="25">
        <v>13</v>
      </c>
      <c r="G20" s="25">
        <v>0.2</v>
      </c>
      <c r="H20" s="26">
        <v>45412</v>
      </c>
      <c r="I20" s="25">
        <v>481.96</v>
      </c>
      <c r="J20" s="27">
        <f t="shared" ca="1" si="0"/>
        <v>46324.918643055556</v>
      </c>
      <c r="K20" s="28">
        <f t="shared" si="1"/>
        <v>3.8000000000000003</v>
      </c>
      <c r="L20" s="29">
        <f t="shared" si="2"/>
        <v>-1349.4880000000001</v>
      </c>
      <c r="M20" s="30">
        <f t="shared" si="3"/>
        <v>19</v>
      </c>
      <c r="N20" s="30" t="str">
        <f t="shared" si="4"/>
        <v>Mary Davis</v>
      </c>
      <c r="AA20"/>
      <c r="AB20"/>
      <c r="AC20"/>
      <c r="AD20"/>
      <c r="AE20"/>
    </row>
    <row r="21" spans="1:49" ht="15.75" customHeight="1" x14ac:dyDescent="0.3">
      <c r="A21" s="25" t="s">
        <v>32</v>
      </c>
      <c r="B21" s="25" t="s">
        <v>33</v>
      </c>
      <c r="C21" s="25" t="s">
        <v>36</v>
      </c>
      <c r="D21" s="25" t="s">
        <v>23</v>
      </c>
      <c r="E21" s="25">
        <v>645.02</v>
      </c>
      <c r="F21" s="25">
        <v>4</v>
      </c>
      <c r="G21" s="25">
        <v>0</v>
      </c>
      <c r="H21" s="26">
        <v>45414</v>
      </c>
      <c r="I21" s="25">
        <v>161.26</v>
      </c>
      <c r="J21" s="27">
        <f t="shared" ca="1" si="0"/>
        <v>46324.918643055556</v>
      </c>
      <c r="K21" s="28">
        <f t="shared" si="1"/>
        <v>4</v>
      </c>
      <c r="L21" s="29">
        <f t="shared" si="2"/>
        <v>-483.78</v>
      </c>
      <c r="M21" s="30">
        <f t="shared" si="3"/>
        <v>20</v>
      </c>
      <c r="N21" s="30" t="str">
        <f t="shared" si="4"/>
        <v>David Brown</v>
      </c>
      <c r="AA21"/>
      <c r="AB21"/>
      <c r="AC21"/>
      <c r="AD21"/>
      <c r="AE21"/>
    </row>
    <row r="22" spans="1:49" ht="15.75" customHeight="1" x14ac:dyDescent="0.3">
      <c r="A22" s="25" t="s">
        <v>27</v>
      </c>
      <c r="B22" s="25" t="s">
        <v>50</v>
      </c>
      <c r="C22" s="25" t="s">
        <v>22</v>
      </c>
      <c r="D22" s="25" t="s">
        <v>17</v>
      </c>
      <c r="E22" s="25">
        <v>953.3</v>
      </c>
      <c r="F22" s="25">
        <v>11</v>
      </c>
      <c r="G22" s="25">
        <v>0</v>
      </c>
      <c r="H22" s="26">
        <v>45415</v>
      </c>
      <c r="I22" s="25">
        <v>476.65</v>
      </c>
      <c r="J22" s="27">
        <f t="shared" ca="1" si="0"/>
        <v>46324.918643055556</v>
      </c>
      <c r="K22" s="28">
        <f t="shared" si="1"/>
        <v>4.2</v>
      </c>
      <c r="L22" s="29">
        <f t="shared" si="2"/>
        <v>-1525.28</v>
      </c>
      <c r="M22" s="30">
        <f t="shared" si="3"/>
        <v>21</v>
      </c>
      <c r="N22" s="30" t="str">
        <f t="shared" si="4"/>
        <v>Mary Wilson</v>
      </c>
      <c r="AA22"/>
      <c r="AB22"/>
      <c r="AC22"/>
      <c r="AD22"/>
      <c r="AE22"/>
    </row>
    <row r="23" spans="1:49" ht="15.75" customHeight="1" x14ac:dyDescent="0.3">
      <c r="A23" s="25" t="s">
        <v>51</v>
      </c>
      <c r="B23" s="25" t="s">
        <v>16</v>
      </c>
      <c r="C23" s="25" t="s">
        <v>26</v>
      </c>
      <c r="D23" s="25" t="s">
        <v>23</v>
      </c>
      <c r="E23" s="25">
        <v>388.56</v>
      </c>
      <c r="F23" s="25">
        <v>14</v>
      </c>
      <c r="G23" s="25">
        <v>0.15</v>
      </c>
      <c r="H23" s="26">
        <v>45416</v>
      </c>
      <c r="I23" s="25">
        <v>82.57</v>
      </c>
      <c r="J23" s="27">
        <f t="shared" ca="1" si="0"/>
        <v>46324.918643055556</v>
      </c>
      <c r="K23" s="28">
        <f t="shared" si="1"/>
        <v>4.4000000000000004</v>
      </c>
      <c r="L23" s="29">
        <f t="shared" si="2"/>
        <v>-280.738</v>
      </c>
      <c r="M23" s="30">
        <f t="shared" si="3"/>
        <v>22</v>
      </c>
      <c r="N23" s="30" t="str">
        <f t="shared" si="4"/>
        <v>James Wilson</v>
      </c>
    </row>
    <row r="24" spans="1:49" ht="15.75" customHeight="1" x14ac:dyDescent="0.3">
      <c r="A24" s="25" t="s">
        <v>10</v>
      </c>
      <c r="B24" s="25" t="s">
        <v>33</v>
      </c>
      <c r="C24" s="25" t="s">
        <v>12</v>
      </c>
      <c r="D24" s="25" t="s">
        <v>13</v>
      </c>
      <c r="E24" s="25">
        <v>743.17</v>
      </c>
      <c r="F24" s="25">
        <v>9</v>
      </c>
      <c r="G24" s="25">
        <v>0</v>
      </c>
      <c r="H24" s="26">
        <v>45416</v>
      </c>
      <c r="I24" s="25">
        <v>297.27</v>
      </c>
      <c r="J24" s="27">
        <f t="shared" ca="1" si="0"/>
        <v>46324.918643055556</v>
      </c>
      <c r="K24" s="28">
        <f t="shared" si="1"/>
        <v>4.6000000000000005</v>
      </c>
      <c r="L24" s="29">
        <f t="shared" si="2"/>
        <v>-1070.172</v>
      </c>
      <c r="M24" s="30">
        <f t="shared" si="3"/>
        <v>23</v>
      </c>
      <c r="N24" s="30" t="str">
        <f t="shared" si="4"/>
        <v>Emma Wilson</v>
      </c>
    </row>
    <row r="25" spans="1:49" ht="15.75" customHeight="1" x14ac:dyDescent="0.3">
      <c r="A25" s="25" t="s">
        <v>42</v>
      </c>
      <c r="B25" s="25" t="s">
        <v>33</v>
      </c>
      <c r="C25" s="25" t="s">
        <v>36</v>
      </c>
      <c r="D25" s="25" t="s">
        <v>23</v>
      </c>
      <c r="E25" s="25">
        <v>706.37</v>
      </c>
      <c r="F25" s="25">
        <v>6</v>
      </c>
      <c r="G25" s="25">
        <v>0</v>
      </c>
      <c r="H25" s="26">
        <v>45416</v>
      </c>
      <c r="I25" s="25">
        <v>176.59</v>
      </c>
      <c r="J25" s="27">
        <f t="shared" ca="1" si="0"/>
        <v>46324.918643055556</v>
      </c>
      <c r="K25" s="28">
        <f t="shared" si="1"/>
        <v>4.8000000000000007</v>
      </c>
      <c r="L25" s="29">
        <f t="shared" si="2"/>
        <v>-671.04200000000014</v>
      </c>
      <c r="M25" s="30">
        <f t="shared" si="3"/>
        <v>24</v>
      </c>
      <c r="N25" s="30" t="str">
        <f t="shared" si="4"/>
        <v>David Thomas</v>
      </c>
    </row>
    <row r="26" spans="1:49" ht="15.75" customHeight="1" x14ac:dyDescent="0.3">
      <c r="A26" s="25" t="s">
        <v>15</v>
      </c>
      <c r="B26" s="25" t="s">
        <v>33</v>
      </c>
      <c r="C26" s="25" t="s">
        <v>36</v>
      </c>
      <c r="D26" s="25" t="s">
        <v>41</v>
      </c>
      <c r="E26" s="25">
        <v>925.31</v>
      </c>
      <c r="F26" s="25">
        <v>8</v>
      </c>
      <c r="G26" s="25">
        <v>0.1</v>
      </c>
      <c r="H26" s="26">
        <v>45418</v>
      </c>
      <c r="I26" s="25">
        <v>374.75</v>
      </c>
      <c r="J26" s="27">
        <f t="shared" ca="1" si="0"/>
        <v>46324.918643055556</v>
      </c>
      <c r="K26" s="28">
        <f t="shared" si="1"/>
        <v>5</v>
      </c>
      <c r="L26" s="29">
        <f t="shared" si="2"/>
        <v>-1499</v>
      </c>
      <c r="M26" s="30">
        <f t="shared" si="3"/>
        <v>25</v>
      </c>
      <c r="N26" s="30" t="str">
        <f t="shared" si="4"/>
        <v>James Davis</v>
      </c>
    </row>
    <row r="27" spans="1:49" ht="15.75" customHeight="1" x14ac:dyDescent="0.3">
      <c r="A27" s="25" t="s">
        <v>37</v>
      </c>
      <c r="B27" s="25" t="s">
        <v>52</v>
      </c>
      <c r="C27" s="25" t="s">
        <v>22</v>
      </c>
      <c r="D27" s="25" t="s">
        <v>23</v>
      </c>
      <c r="E27" s="25">
        <v>1173.1199999999999</v>
      </c>
      <c r="F27" s="25">
        <v>18</v>
      </c>
      <c r="G27" s="25">
        <v>0</v>
      </c>
      <c r="H27" s="26">
        <v>45418</v>
      </c>
      <c r="I27" s="25">
        <v>293.27999999999997</v>
      </c>
      <c r="J27" s="27">
        <f t="shared" ca="1" si="0"/>
        <v>46324.918643055556</v>
      </c>
      <c r="K27" s="28">
        <f t="shared" si="1"/>
        <v>5.2</v>
      </c>
      <c r="L27" s="29">
        <f t="shared" si="2"/>
        <v>-1231.7759999999998</v>
      </c>
      <c r="M27" s="30">
        <f t="shared" si="3"/>
        <v>26</v>
      </c>
      <c r="N27" s="30" t="str">
        <f t="shared" si="4"/>
        <v>Linda Wilson</v>
      </c>
    </row>
    <row r="28" spans="1:49" ht="15.75" customHeight="1" x14ac:dyDescent="0.3">
      <c r="A28" s="25" t="s">
        <v>24</v>
      </c>
      <c r="B28" s="25" t="s">
        <v>53</v>
      </c>
      <c r="C28" s="25" t="s">
        <v>26</v>
      </c>
      <c r="D28" s="25" t="s">
        <v>29</v>
      </c>
      <c r="E28" s="25">
        <v>675.54</v>
      </c>
      <c r="F28" s="25">
        <v>17</v>
      </c>
      <c r="G28" s="25">
        <v>0</v>
      </c>
      <c r="H28" s="26">
        <v>45420</v>
      </c>
      <c r="I28" s="25">
        <v>236.44</v>
      </c>
      <c r="J28" s="27">
        <f t="shared" ca="1" si="0"/>
        <v>46324.918643055556</v>
      </c>
      <c r="K28" s="28">
        <f t="shared" si="1"/>
        <v>5.4</v>
      </c>
      <c r="L28" s="29">
        <f t="shared" si="2"/>
        <v>-1040.336</v>
      </c>
      <c r="M28" s="30">
        <f t="shared" si="3"/>
        <v>27</v>
      </c>
      <c r="N28" s="30" t="str">
        <f t="shared" si="4"/>
        <v>James Davis</v>
      </c>
    </row>
    <row r="29" spans="1:49" ht="15.75" customHeight="1" x14ac:dyDescent="0.3">
      <c r="A29" s="25" t="s">
        <v>27</v>
      </c>
      <c r="B29" s="25" t="s">
        <v>16</v>
      </c>
      <c r="C29" s="25" t="s">
        <v>36</v>
      </c>
      <c r="D29" s="25" t="s">
        <v>13</v>
      </c>
      <c r="E29" s="25">
        <v>939.09</v>
      </c>
      <c r="F29" s="25">
        <v>2</v>
      </c>
      <c r="G29" s="25">
        <v>0.05</v>
      </c>
      <c r="H29" s="26">
        <v>45422</v>
      </c>
      <c r="I29" s="25">
        <v>356.85</v>
      </c>
      <c r="J29" s="27">
        <f t="shared" ca="1" si="0"/>
        <v>46324.918643055556</v>
      </c>
      <c r="K29" s="28">
        <f t="shared" si="1"/>
        <v>5.6000000000000005</v>
      </c>
      <c r="L29" s="29">
        <f t="shared" si="2"/>
        <v>-1641.5100000000002</v>
      </c>
      <c r="M29" s="30">
        <f t="shared" si="3"/>
        <v>28</v>
      </c>
      <c r="N29" s="30" t="str">
        <f t="shared" si="4"/>
        <v>Linda Jackson</v>
      </c>
    </row>
    <row r="30" spans="1:49" ht="15.75" customHeight="1" x14ac:dyDescent="0.3">
      <c r="A30" s="25" t="s">
        <v>54</v>
      </c>
      <c r="B30" s="25" t="s">
        <v>55</v>
      </c>
      <c r="C30" s="25" t="s">
        <v>20</v>
      </c>
      <c r="D30" s="25" t="s">
        <v>41</v>
      </c>
      <c r="E30" s="25">
        <v>983.34</v>
      </c>
      <c r="F30" s="25">
        <v>19</v>
      </c>
      <c r="G30" s="25">
        <v>0.1</v>
      </c>
      <c r="H30" s="26">
        <v>45426</v>
      </c>
      <c r="I30" s="25">
        <v>398.25</v>
      </c>
      <c r="J30" s="27">
        <f t="shared" ca="1" si="0"/>
        <v>46324.918643055556</v>
      </c>
      <c r="K30" s="28">
        <f t="shared" si="1"/>
        <v>5.8000000000000007</v>
      </c>
      <c r="L30" s="29">
        <f t="shared" si="2"/>
        <v>-1911.6000000000004</v>
      </c>
      <c r="M30" s="30">
        <f t="shared" si="3"/>
        <v>29</v>
      </c>
      <c r="N30" s="30" t="str">
        <f t="shared" si="4"/>
        <v>Mary Davis</v>
      </c>
    </row>
    <row r="31" spans="1:49" ht="15.75" customHeight="1" x14ac:dyDescent="0.3">
      <c r="A31" s="25" t="s">
        <v>54</v>
      </c>
      <c r="B31" s="25" t="s">
        <v>25</v>
      </c>
      <c r="C31" s="25" t="s">
        <v>22</v>
      </c>
      <c r="D31" s="25" t="s">
        <v>23</v>
      </c>
      <c r="E31" s="25">
        <v>801.21</v>
      </c>
      <c r="F31" s="25">
        <v>3</v>
      </c>
      <c r="G31" s="25">
        <v>0.2</v>
      </c>
      <c r="H31" s="26">
        <v>45426</v>
      </c>
      <c r="I31" s="25">
        <v>160.24</v>
      </c>
      <c r="J31" s="27">
        <f t="shared" ca="1" si="0"/>
        <v>46324.918643055556</v>
      </c>
      <c r="K31" s="28">
        <f t="shared" si="1"/>
        <v>6</v>
      </c>
      <c r="L31" s="29">
        <f t="shared" si="2"/>
        <v>-801.2</v>
      </c>
      <c r="M31" s="30">
        <f t="shared" si="3"/>
        <v>30</v>
      </c>
      <c r="N31" s="30" t="str">
        <f t="shared" si="4"/>
        <v>Mary Jackson</v>
      </c>
    </row>
    <row r="32" spans="1:49" ht="15.75" customHeight="1" x14ac:dyDescent="0.3">
      <c r="A32" s="25" t="s">
        <v>56</v>
      </c>
      <c r="B32" s="25" t="s">
        <v>57</v>
      </c>
      <c r="C32" s="25" t="s">
        <v>26</v>
      </c>
      <c r="D32" s="25" t="s">
        <v>23</v>
      </c>
      <c r="E32" s="25">
        <v>1450.71</v>
      </c>
      <c r="F32" s="25">
        <v>5</v>
      </c>
      <c r="G32" s="25">
        <v>0.1</v>
      </c>
      <c r="H32" s="26">
        <v>45427</v>
      </c>
      <c r="I32" s="25">
        <v>326.41000000000003</v>
      </c>
      <c r="J32" s="27">
        <f t="shared" ca="1" si="0"/>
        <v>46324.918643055556</v>
      </c>
      <c r="K32" s="28">
        <f t="shared" si="1"/>
        <v>6.2</v>
      </c>
      <c r="L32" s="29">
        <f t="shared" si="2"/>
        <v>-1697.3320000000001</v>
      </c>
      <c r="M32" s="30">
        <f t="shared" si="3"/>
        <v>31</v>
      </c>
      <c r="N32" s="30" t="str">
        <f t="shared" si="4"/>
        <v>James Taylor</v>
      </c>
    </row>
    <row r="33" spans="1:14" ht="15.75" customHeight="1" x14ac:dyDescent="0.3">
      <c r="A33" s="25" t="s">
        <v>51</v>
      </c>
      <c r="B33" s="25" t="s">
        <v>58</v>
      </c>
      <c r="C33" s="25" t="s">
        <v>36</v>
      </c>
      <c r="D33" s="25" t="s">
        <v>13</v>
      </c>
      <c r="E33" s="25">
        <v>1023.21</v>
      </c>
      <c r="F33" s="25">
        <v>18</v>
      </c>
      <c r="G33" s="25">
        <v>0.05</v>
      </c>
      <c r="H33" s="26">
        <v>45428</v>
      </c>
      <c r="I33" s="25">
        <v>388.82</v>
      </c>
      <c r="J33" s="27">
        <f t="shared" ca="1" si="0"/>
        <v>46324.918643055556</v>
      </c>
      <c r="K33" s="28">
        <f t="shared" si="1"/>
        <v>6.4</v>
      </c>
      <c r="L33" s="29">
        <f t="shared" si="2"/>
        <v>-2099.6280000000002</v>
      </c>
      <c r="M33" s="30">
        <f t="shared" si="3"/>
        <v>32</v>
      </c>
      <c r="N33" s="30" t="str">
        <f t="shared" si="4"/>
        <v>Linda Brown</v>
      </c>
    </row>
    <row r="34" spans="1:14" ht="15.75" customHeight="1" x14ac:dyDescent="0.3">
      <c r="A34" s="25" t="s">
        <v>30</v>
      </c>
      <c r="B34" s="25" t="s">
        <v>49</v>
      </c>
      <c r="C34" s="25" t="s">
        <v>12</v>
      </c>
      <c r="D34" s="25" t="s">
        <v>29</v>
      </c>
      <c r="E34" s="25">
        <v>853.72</v>
      </c>
      <c r="F34" s="25">
        <v>5</v>
      </c>
      <c r="G34" s="25">
        <v>0.15</v>
      </c>
      <c r="H34" s="26">
        <v>45428</v>
      </c>
      <c r="I34" s="25">
        <v>253.98</v>
      </c>
      <c r="J34" s="27">
        <f t="shared" ca="1" si="0"/>
        <v>46324.918643055556</v>
      </c>
      <c r="K34" s="28">
        <f t="shared" si="1"/>
        <v>6.6000000000000005</v>
      </c>
      <c r="L34" s="29">
        <f t="shared" si="2"/>
        <v>-1422.288</v>
      </c>
      <c r="M34" s="30">
        <f t="shared" si="3"/>
        <v>33</v>
      </c>
      <c r="N34" s="30" t="str">
        <f t="shared" si="4"/>
        <v>Linda Taylor</v>
      </c>
    </row>
    <row r="35" spans="1:14" ht="15.75" customHeight="1" x14ac:dyDescent="0.3">
      <c r="A35" s="25" t="s">
        <v>59</v>
      </c>
      <c r="B35" s="25" t="s">
        <v>45</v>
      </c>
      <c r="C35" s="25" t="s">
        <v>22</v>
      </c>
      <c r="D35" s="25" t="s">
        <v>23</v>
      </c>
      <c r="E35" s="25">
        <v>967.89</v>
      </c>
      <c r="F35" s="25">
        <v>10</v>
      </c>
      <c r="G35" s="25">
        <v>0.1</v>
      </c>
      <c r="H35" s="26">
        <v>45429</v>
      </c>
      <c r="I35" s="25">
        <v>217.78</v>
      </c>
      <c r="J35" s="27">
        <f t="shared" ca="1" si="0"/>
        <v>46324.918643055556</v>
      </c>
      <c r="K35" s="28">
        <f t="shared" si="1"/>
        <v>6.8000000000000007</v>
      </c>
      <c r="L35" s="29">
        <f t="shared" si="2"/>
        <v>-1263.1240000000003</v>
      </c>
      <c r="M35" s="30">
        <f t="shared" si="3"/>
        <v>34</v>
      </c>
      <c r="N35" s="30" t="str">
        <f t="shared" si="4"/>
        <v>Mary Davis</v>
      </c>
    </row>
    <row r="36" spans="1:14" ht="15.75" customHeight="1" x14ac:dyDescent="0.3">
      <c r="A36" s="25" t="s">
        <v>60</v>
      </c>
      <c r="B36" s="25" t="s">
        <v>55</v>
      </c>
      <c r="C36" s="25" t="s">
        <v>26</v>
      </c>
      <c r="D36" s="25" t="s">
        <v>41</v>
      </c>
      <c r="E36" s="25">
        <v>1200.9000000000001</v>
      </c>
      <c r="F36" s="25">
        <v>14</v>
      </c>
      <c r="G36" s="25">
        <v>0.05</v>
      </c>
      <c r="H36" s="26">
        <v>45429</v>
      </c>
      <c r="I36" s="25">
        <v>513.38</v>
      </c>
      <c r="J36" s="27">
        <f t="shared" ca="1" si="0"/>
        <v>46324.918643055556</v>
      </c>
      <c r="K36" s="28">
        <f t="shared" si="1"/>
        <v>7</v>
      </c>
      <c r="L36" s="29">
        <f t="shared" si="2"/>
        <v>-3080.2799999999997</v>
      </c>
      <c r="M36" s="30">
        <f t="shared" si="3"/>
        <v>35</v>
      </c>
      <c r="N36" s="30" t="str">
        <f t="shared" si="4"/>
        <v>Linda Wilson</v>
      </c>
    </row>
    <row r="37" spans="1:14" ht="15.75" customHeight="1" x14ac:dyDescent="0.3">
      <c r="A37" s="25" t="s">
        <v>15</v>
      </c>
      <c r="B37" s="25" t="s">
        <v>28</v>
      </c>
      <c r="C37" s="25" t="s">
        <v>12</v>
      </c>
      <c r="D37" s="25" t="s">
        <v>13</v>
      </c>
      <c r="E37" s="25">
        <v>472.38</v>
      </c>
      <c r="F37" s="25">
        <v>12</v>
      </c>
      <c r="G37" s="25">
        <v>0.2</v>
      </c>
      <c r="H37" s="26">
        <v>45429</v>
      </c>
      <c r="I37" s="25">
        <v>151.16</v>
      </c>
      <c r="J37" s="27">
        <f t="shared" ca="1" si="0"/>
        <v>46324.918643055556</v>
      </c>
      <c r="K37" s="28">
        <f t="shared" si="1"/>
        <v>7.2</v>
      </c>
      <c r="L37" s="29">
        <f t="shared" si="2"/>
        <v>-937.19200000000001</v>
      </c>
      <c r="M37" s="30">
        <f t="shared" si="3"/>
        <v>36</v>
      </c>
      <c r="N37" s="30" t="str">
        <f t="shared" si="4"/>
        <v>Emma Davis</v>
      </c>
    </row>
    <row r="38" spans="1:14" ht="15.75" customHeight="1" x14ac:dyDescent="0.3">
      <c r="A38" s="25" t="s">
        <v>10</v>
      </c>
      <c r="B38" s="25" t="s">
        <v>57</v>
      </c>
      <c r="C38" s="25" t="s">
        <v>20</v>
      </c>
      <c r="D38" s="25" t="s">
        <v>41</v>
      </c>
      <c r="E38" s="25">
        <v>840.92</v>
      </c>
      <c r="F38" s="25">
        <v>9</v>
      </c>
      <c r="G38" s="25">
        <v>0.05</v>
      </c>
      <c r="H38" s="26">
        <v>45429</v>
      </c>
      <c r="I38" s="25">
        <v>359.49</v>
      </c>
      <c r="J38" s="27">
        <f t="shared" ca="1" si="0"/>
        <v>46324.918643055556</v>
      </c>
      <c r="K38" s="28">
        <f t="shared" si="1"/>
        <v>7.4</v>
      </c>
      <c r="L38" s="29">
        <f t="shared" si="2"/>
        <v>-2300.7360000000003</v>
      </c>
      <c r="M38" s="30">
        <f t="shared" si="3"/>
        <v>37</v>
      </c>
      <c r="N38" s="30" t="str">
        <f t="shared" si="4"/>
        <v>Emma Taylor</v>
      </c>
    </row>
    <row r="39" spans="1:14" ht="15.75" customHeight="1" x14ac:dyDescent="0.3">
      <c r="A39" s="25" t="s">
        <v>54</v>
      </c>
      <c r="B39" s="25" t="s">
        <v>50</v>
      </c>
      <c r="C39" s="25" t="s">
        <v>36</v>
      </c>
      <c r="D39" s="25" t="s">
        <v>29</v>
      </c>
      <c r="E39" s="25">
        <v>1410.06</v>
      </c>
      <c r="F39" s="25">
        <v>11</v>
      </c>
      <c r="G39" s="25">
        <v>0.05</v>
      </c>
      <c r="H39" s="26">
        <v>45434</v>
      </c>
      <c r="I39" s="25">
        <v>468.84</v>
      </c>
      <c r="J39" s="27">
        <f t="shared" ca="1" si="0"/>
        <v>46324.918643055556</v>
      </c>
      <c r="K39" s="28">
        <f t="shared" si="1"/>
        <v>7.6000000000000005</v>
      </c>
      <c r="L39" s="29">
        <f t="shared" si="2"/>
        <v>-3094.3440000000001</v>
      </c>
      <c r="M39" s="30">
        <f t="shared" si="3"/>
        <v>38</v>
      </c>
      <c r="N39" s="30" t="str">
        <f t="shared" si="4"/>
        <v>Emma Wilson</v>
      </c>
    </row>
    <row r="40" spans="1:14" ht="15.75" customHeight="1" x14ac:dyDescent="0.3">
      <c r="A40" s="25" t="s">
        <v>46</v>
      </c>
      <c r="B40" s="25" t="s">
        <v>61</v>
      </c>
      <c r="C40" s="25" t="s">
        <v>36</v>
      </c>
      <c r="D40" s="25" t="s">
        <v>29</v>
      </c>
      <c r="E40" s="25">
        <v>773.09</v>
      </c>
      <c r="F40" s="25">
        <v>13</v>
      </c>
      <c r="G40" s="25">
        <v>0.15</v>
      </c>
      <c r="H40" s="26">
        <v>45434</v>
      </c>
      <c r="I40" s="25">
        <v>229.99</v>
      </c>
      <c r="J40" s="27">
        <f t="shared" ca="1" si="0"/>
        <v>46324.918643055556</v>
      </c>
      <c r="K40" s="28">
        <f t="shared" si="1"/>
        <v>7.8000000000000007</v>
      </c>
      <c r="L40" s="29">
        <f t="shared" si="2"/>
        <v>-1563.9320000000002</v>
      </c>
      <c r="M40" s="30">
        <f t="shared" si="3"/>
        <v>39</v>
      </c>
      <c r="N40" s="30" t="str">
        <f t="shared" si="4"/>
        <v>James Wilson</v>
      </c>
    </row>
    <row r="41" spans="1:14" ht="15.75" customHeight="1" x14ac:dyDescent="0.3">
      <c r="A41" s="25" t="s">
        <v>62</v>
      </c>
      <c r="B41" s="25" t="s">
        <v>63</v>
      </c>
      <c r="C41" s="25" t="s">
        <v>20</v>
      </c>
      <c r="D41" s="25" t="s">
        <v>13</v>
      </c>
      <c r="E41" s="25">
        <v>580.42999999999995</v>
      </c>
      <c r="F41" s="25">
        <v>19</v>
      </c>
      <c r="G41" s="25">
        <v>0.15</v>
      </c>
      <c r="H41" s="26">
        <v>45435</v>
      </c>
      <c r="I41" s="25">
        <v>197.35</v>
      </c>
      <c r="J41" s="27">
        <f t="shared" ca="1" si="0"/>
        <v>46324.918643055556</v>
      </c>
      <c r="K41" s="28">
        <f t="shared" si="1"/>
        <v>8</v>
      </c>
      <c r="L41" s="29">
        <f t="shared" si="2"/>
        <v>-1381.45</v>
      </c>
      <c r="M41" s="30">
        <f t="shared" si="3"/>
        <v>40</v>
      </c>
      <c r="N41" s="30" t="str">
        <f t="shared" si="4"/>
        <v>David Davis</v>
      </c>
    </row>
    <row r="42" spans="1:14" ht="15.75" customHeight="1" x14ac:dyDescent="0.3">
      <c r="A42" s="25" t="s">
        <v>21</v>
      </c>
      <c r="B42" s="25" t="s">
        <v>44</v>
      </c>
      <c r="C42" s="25" t="s">
        <v>22</v>
      </c>
      <c r="D42" s="25" t="s">
        <v>13</v>
      </c>
      <c r="E42" s="25">
        <v>1151.21</v>
      </c>
      <c r="F42" s="25">
        <v>15</v>
      </c>
      <c r="G42" s="25">
        <v>0.1</v>
      </c>
      <c r="H42" s="26">
        <v>45445</v>
      </c>
      <c r="I42" s="25">
        <v>414.44</v>
      </c>
      <c r="J42" s="27">
        <f t="shared" ca="1" si="0"/>
        <v>46324.918643055556</v>
      </c>
      <c r="K42" s="28">
        <f t="shared" si="1"/>
        <v>8.2000000000000011</v>
      </c>
      <c r="L42" s="29">
        <f t="shared" si="2"/>
        <v>-2983.9680000000003</v>
      </c>
      <c r="M42" s="30">
        <f t="shared" si="3"/>
        <v>41</v>
      </c>
      <c r="N42" s="30" t="str">
        <f t="shared" si="4"/>
        <v>Linda Wilson</v>
      </c>
    </row>
    <row r="43" spans="1:14" ht="15.75" customHeight="1" x14ac:dyDescent="0.3">
      <c r="A43" s="25" t="s">
        <v>54</v>
      </c>
      <c r="B43" s="25" t="s">
        <v>25</v>
      </c>
      <c r="C43" s="25" t="s">
        <v>36</v>
      </c>
      <c r="D43" s="25" t="s">
        <v>41</v>
      </c>
      <c r="E43" s="25">
        <v>1025.98</v>
      </c>
      <c r="F43" s="25">
        <v>5</v>
      </c>
      <c r="G43" s="25">
        <v>0.2</v>
      </c>
      <c r="H43" s="26">
        <v>45447</v>
      </c>
      <c r="I43" s="25">
        <v>369.35</v>
      </c>
      <c r="J43" s="27">
        <f t="shared" ca="1" si="0"/>
        <v>46324.918643055556</v>
      </c>
      <c r="K43" s="28">
        <f t="shared" si="1"/>
        <v>8.4</v>
      </c>
      <c r="L43" s="29">
        <f t="shared" si="2"/>
        <v>-2733.1900000000005</v>
      </c>
      <c r="M43" s="30">
        <f t="shared" si="3"/>
        <v>42</v>
      </c>
      <c r="N43" s="30" t="str">
        <f t="shared" si="4"/>
        <v>Emma Wilson</v>
      </c>
    </row>
    <row r="44" spans="1:14" ht="15.75" customHeight="1" x14ac:dyDescent="0.3">
      <c r="A44" s="25" t="s">
        <v>42</v>
      </c>
      <c r="B44" s="25" t="s">
        <v>58</v>
      </c>
      <c r="C44" s="25" t="s">
        <v>20</v>
      </c>
      <c r="D44" s="25" t="s">
        <v>41</v>
      </c>
      <c r="E44" s="25">
        <v>556.41999999999996</v>
      </c>
      <c r="F44" s="25">
        <v>11</v>
      </c>
      <c r="G44" s="25">
        <v>0.15</v>
      </c>
      <c r="H44" s="26">
        <v>45447</v>
      </c>
      <c r="I44" s="25">
        <v>212.83</v>
      </c>
      <c r="J44" s="27">
        <f t="shared" ca="1" si="0"/>
        <v>46324.918643055556</v>
      </c>
      <c r="K44" s="28">
        <f t="shared" si="1"/>
        <v>8.6</v>
      </c>
      <c r="L44" s="29">
        <f t="shared" si="2"/>
        <v>-1617.508</v>
      </c>
      <c r="M44" s="30">
        <f t="shared" si="3"/>
        <v>43</v>
      </c>
      <c r="N44" s="30" t="str">
        <f t="shared" si="4"/>
        <v>James Wilson</v>
      </c>
    </row>
    <row r="45" spans="1:14" ht="15.75" customHeight="1" x14ac:dyDescent="0.3">
      <c r="A45" s="25" t="s">
        <v>59</v>
      </c>
      <c r="B45" s="25" t="s">
        <v>25</v>
      </c>
      <c r="C45" s="25" t="s">
        <v>36</v>
      </c>
      <c r="D45" s="25" t="s">
        <v>13</v>
      </c>
      <c r="E45" s="25">
        <v>840.85</v>
      </c>
      <c r="F45" s="25">
        <v>19</v>
      </c>
      <c r="G45" s="25">
        <v>0.1</v>
      </c>
      <c r="H45" s="26">
        <v>45448</v>
      </c>
      <c r="I45" s="25">
        <v>302.70999999999998</v>
      </c>
      <c r="J45" s="27">
        <f t="shared" ca="1" si="0"/>
        <v>46324.918643055556</v>
      </c>
      <c r="K45" s="28">
        <f t="shared" si="1"/>
        <v>8.8000000000000007</v>
      </c>
      <c r="L45" s="29">
        <f t="shared" si="2"/>
        <v>-2361.1379999999999</v>
      </c>
      <c r="M45" s="30">
        <f t="shared" si="3"/>
        <v>44</v>
      </c>
      <c r="N45" s="30" t="str">
        <f t="shared" si="4"/>
        <v>Linda Taylor</v>
      </c>
    </row>
    <row r="46" spans="1:14" ht="15.75" customHeight="1" x14ac:dyDescent="0.3">
      <c r="A46" s="25" t="s">
        <v>32</v>
      </c>
      <c r="B46" s="25" t="s">
        <v>63</v>
      </c>
      <c r="C46" s="25" t="s">
        <v>26</v>
      </c>
      <c r="D46" s="25" t="s">
        <v>29</v>
      </c>
      <c r="E46" s="25">
        <v>1227.25</v>
      </c>
      <c r="F46" s="25">
        <v>12</v>
      </c>
      <c r="G46" s="25">
        <v>0.15</v>
      </c>
      <c r="H46" s="26">
        <v>45448</v>
      </c>
      <c r="I46" s="25">
        <v>365.11</v>
      </c>
      <c r="J46" s="27">
        <f t="shared" ca="1" si="0"/>
        <v>46324.918643055556</v>
      </c>
      <c r="K46" s="28">
        <f t="shared" si="1"/>
        <v>9</v>
      </c>
      <c r="L46" s="29">
        <f t="shared" si="2"/>
        <v>-2920.88</v>
      </c>
      <c r="M46" s="30">
        <f t="shared" si="3"/>
        <v>45</v>
      </c>
      <c r="N46" s="30" t="str">
        <f t="shared" si="4"/>
        <v>David Anderson</v>
      </c>
    </row>
    <row r="47" spans="1:14" ht="15.75" customHeight="1" x14ac:dyDescent="0.3">
      <c r="A47" s="25" t="s">
        <v>18</v>
      </c>
      <c r="B47" s="25" t="s">
        <v>64</v>
      </c>
      <c r="C47" s="25" t="s">
        <v>36</v>
      </c>
      <c r="D47" s="25" t="s">
        <v>23</v>
      </c>
      <c r="E47" s="25">
        <v>856.7</v>
      </c>
      <c r="F47" s="25">
        <v>2</v>
      </c>
      <c r="G47" s="25">
        <v>0</v>
      </c>
      <c r="H47" s="26">
        <v>45449</v>
      </c>
      <c r="I47" s="25">
        <v>214.18</v>
      </c>
      <c r="J47" s="27">
        <f t="shared" ca="1" si="0"/>
        <v>46324.918643055556</v>
      </c>
      <c r="K47" s="28">
        <f t="shared" si="1"/>
        <v>9.2000000000000011</v>
      </c>
      <c r="L47" s="29">
        <f t="shared" si="2"/>
        <v>-1756.2760000000003</v>
      </c>
      <c r="M47" s="30">
        <f t="shared" si="3"/>
        <v>46</v>
      </c>
      <c r="N47" s="30" t="str">
        <f t="shared" si="4"/>
        <v>Michael Anderson</v>
      </c>
    </row>
    <row r="48" spans="1:14" ht="15.75" customHeight="1" x14ac:dyDescent="0.3">
      <c r="A48" s="25" t="s">
        <v>56</v>
      </c>
      <c r="B48" s="25" t="s">
        <v>58</v>
      </c>
      <c r="C48" s="25" t="s">
        <v>36</v>
      </c>
      <c r="D48" s="25" t="s">
        <v>41</v>
      </c>
      <c r="E48" s="25">
        <v>1225.42</v>
      </c>
      <c r="F48" s="25">
        <v>8</v>
      </c>
      <c r="G48" s="25">
        <v>0.15</v>
      </c>
      <c r="H48" s="26">
        <v>45449</v>
      </c>
      <c r="I48" s="25">
        <v>468.72</v>
      </c>
      <c r="J48" s="27">
        <f t="shared" ca="1" si="0"/>
        <v>46324.918643055556</v>
      </c>
      <c r="K48" s="28">
        <f t="shared" si="1"/>
        <v>9.4</v>
      </c>
      <c r="L48" s="29">
        <f t="shared" si="2"/>
        <v>-3937.2480000000005</v>
      </c>
      <c r="M48" s="30">
        <f t="shared" si="3"/>
        <v>47</v>
      </c>
      <c r="N48" s="30" t="str">
        <f t="shared" si="4"/>
        <v>Mary Davis</v>
      </c>
    </row>
    <row r="49" spans="1:14" ht="15.75" customHeight="1" x14ac:dyDescent="0.3">
      <c r="A49" s="25" t="s">
        <v>65</v>
      </c>
      <c r="B49" s="25" t="s">
        <v>33</v>
      </c>
      <c r="C49" s="25" t="s">
        <v>26</v>
      </c>
      <c r="D49" s="25" t="s">
        <v>41</v>
      </c>
      <c r="E49" s="25">
        <v>1001.57</v>
      </c>
      <c r="F49" s="25">
        <v>12</v>
      </c>
      <c r="G49" s="25">
        <v>0</v>
      </c>
      <c r="H49" s="26">
        <v>45450</v>
      </c>
      <c r="I49" s="25">
        <v>450.71</v>
      </c>
      <c r="J49" s="27">
        <f t="shared" ca="1" si="0"/>
        <v>46324.918643055556</v>
      </c>
      <c r="K49" s="28">
        <f t="shared" si="1"/>
        <v>9.6000000000000014</v>
      </c>
      <c r="L49" s="29">
        <f t="shared" si="2"/>
        <v>-3876.1060000000007</v>
      </c>
      <c r="M49" s="30">
        <f t="shared" si="3"/>
        <v>48</v>
      </c>
      <c r="N49" s="30" t="str">
        <f t="shared" si="4"/>
        <v>Michael Anderson</v>
      </c>
    </row>
    <row r="50" spans="1:14" ht="15.75" customHeight="1" x14ac:dyDescent="0.3">
      <c r="A50" s="25" t="s">
        <v>59</v>
      </c>
      <c r="B50" s="25" t="s">
        <v>28</v>
      </c>
      <c r="C50" s="25" t="s">
        <v>20</v>
      </c>
      <c r="D50" s="25" t="s">
        <v>29</v>
      </c>
      <c r="E50" s="25">
        <v>1186.8499999999999</v>
      </c>
      <c r="F50" s="25">
        <v>19</v>
      </c>
      <c r="G50" s="25">
        <v>0.2</v>
      </c>
      <c r="H50" s="26">
        <v>45451</v>
      </c>
      <c r="I50" s="25">
        <v>332.32</v>
      </c>
      <c r="J50" s="27">
        <f t="shared" ca="1" si="0"/>
        <v>46324.918643055556</v>
      </c>
      <c r="K50" s="28">
        <f t="shared" si="1"/>
        <v>9.8000000000000007</v>
      </c>
      <c r="L50" s="29">
        <f t="shared" si="2"/>
        <v>-2924.4160000000002</v>
      </c>
      <c r="M50" s="30">
        <f t="shared" si="3"/>
        <v>49</v>
      </c>
      <c r="N50" s="30" t="str">
        <f t="shared" si="4"/>
        <v>Michael Anderson</v>
      </c>
    </row>
    <row r="51" spans="1:14" ht="15.75" customHeight="1" x14ac:dyDescent="0.3">
      <c r="A51" s="25" t="s">
        <v>46</v>
      </c>
      <c r="B51" s="25" t="s">
        <v>53</v>
      </c>
      <c r="C51" s="25" t="s">
        <v>22</v>
      </c>
      <c r="D51" s="25" t="s">
        <v>23</v>
      </c>
      <c r="E51" s="25">
        <v>775.45</v>
      </c>
      <c r="F51" s="25">
        <v>6</v>
      </c>
      <c r="G51" s="25">
        <v>0.1</v>
      </c>
      <c r="H51" s="26">
        <v>45457</v>
      </c>
      <c r="I51" s="25">
        <v>174.48</v>
      </c>
      <c r="J51" s="27">
        <f t="shared" ca="1" si="0"/>
        <v>46324.918643055556</v>
      </c>
      <c r="K51" s="28">
        <f t="shared" si="1"/>
        <v>10</v>
      </c>
      <c r="L51" s="29">
        <f t="shared" si="2"/>
        <v>-1570.32</v>
      </c>
      <c r="M51" s="30">
        <f t="shared" si="3"/>
        <v>50</v>
      </c>
      <c r="N51" s="30" t="str">
        <f t="shared" si="4"/>
        <v>Linda Brown</v>
      </c>
    </row>
    <row r="52" spans="1:14" ht="15.75" customHeight="1" x14ac:dyDescent="0.3">
      <c r="A52" s="25" t="s">
        <v>27</v>
      </c>
      <c r="B52" s="25" t="s">
        <v>35</v>
      </c>
      <c r="C52" s="25" t="s">
        <v>22</v>
      </c>
      <c r="D52" s="25" t="s">
        <v>23</v>
      </c>
      <c r="E52" s="25">
        <v>1021.47</v>
      </c>
      <c r="F52" s="25">
        <v>6</v>
      </c>
      <c r="G52" s="25">
        <v>0.05</v>
      </c>
      <c r="H52" s="26">
        <v>45461</v>
      </c>
      <c r="I52" s="25">
        <v>242.6</v>
      </c>
      <c r="J52" s="27">
        <f t="shared" ca="1" si="0"/>
        <v>46324.918643055556</v>
      </c>
      <c r="K52" s="28">
        <f t="shared" si="1"/>
        <v>10.200000000000001</v>
      </c>
      <c r="L52" s="29">
        <f t="shared" si="2"/>
        <v>-2231.92</v>
      </c>
      <c r="M52" s="30">
        <f t="shared" si="3"/>
        <v>51</v>
      </c>
      <c r="N52" s="30" t="str">
        <f t="shared" si="4"/>
        <v>Emma Wilson</v>
      </c>
    </row>
    <row r="53" spans="1:14" ht="15.75" customHeight="1" x14ac:dyDescent="0.3">
      <c r="A53" s="25" t="s">
        <v>60</v>
      </c>
      <c r="B53" s="25" t="s">
        <v>25</v>
      </c>
      <c r="C53" s="25" t="s">
        <v>22</v>
      </c>
      <c r="D53" s="25" t="s">
        <v>17</v>
      </c>
      <c r="E53" s="25">
        <v>1226.6199999999999</v>
      </c>
      <c r="F53" s="25">
        <v>7</v>
      </c>
      <c r="G53" s="25">
        <v>0.1</v>
      </c>
      <c r="H53" s="26">
        <v>45463</v>
      </c>
      <c r="I53" s="25">
        <v>551.98</v>
      </c>
      <c r="J53" s="27">
        <f t="shared" ca="1" si="0"/>
        <v>46324.918643055556</v>
      </c>
      <c r="K53" s="28">
        <f t="shared" si="1"/>
        <v>10.4</v>
      </c>
      <c r="L53" s="29">
        <f t="shared" si="2"/>
        <v>-5188.6120000000001</v>
      </c>
      <c r="M53" s="30">
        <f t="shared" si="3"/>
        <v>52</v>
      </c>
      <c r="N53" s="30" t="str">
        <f t="shared" si="4"/>
        <v>Mary Wilson</v>
      </c>
    </row>
    <row r="54" spans="1:14" ht="15.75" customHeight="1" x14ac:dyDescent="0.3">
      <c r="A54" s="25" t="s">
        <v>24</v>
      </c>
      <c r="B54" s="25" t="s">
        <v>66</v>
      </c>
      <c r="C54" s="25" t="s">
        <v>22</v>
      </c>
      <c r="D54" s="25" t="s">
        <v>29</v>
      </c>
      <c r="E54" s="25">
        <v>1086.93</v>
      </c>
      <c r="F54" s="25">
        <v>2</v>
      </c>
      <c r="G54" s="25">
        <v>0</v>
      </c>
      <c r="H54" s="26">
        <v>45464</v>
      </c>
      <c r="I54" s="25">
        <v>380.43</v>
      </c>
      <c r="J54" s="27">
        <f t="shared" ca="1" si="0"/>
        <v>46324.918643055556</v>
      </c>
      <c r="K54" s="28">
        <f t="shared" si="1"/>
        <v>10.600000000000001</v>
      </c>
      <c r="L54" s="29">
        <f t="shared" si="2"/>
        <v>-3652.1280000000006</v>
      </c>
      <c r="M54" s="30">
        <f t="shared" si="3"/>
        <v>53</v>
      </c>
      <c r="N54" s="30" t="str">
        <f t="shared" si="4"/>
        <v>David Thomas</v>
      </c>
    </row>
    <row r="55" spans="1:14" ht="15.75" customHeight="1" x14ac:dyDescent="0.3">
      <c r="A55" s="25" t="s">
        <v>67</v>
      </c>
      <c r="B55" s="25" t="s">
        <v>50</v>
      </c>
      <c r="C55" s="25" t="s">
        <v>12</v>
      </c>
      <c r="D55" s="25" t="s">
        <v>13</v>
      </c>
      <c r="E55" s="25">
        <v>942.9</v>
      </c>
      <c r="F55" s="25">
        <v>18</v>
      </c>
      <c r="G55" s="25">
        <v>0.1</v>
      </c>
      <c r="H55" s="26">
        <v>45466</v>
      </c>
      <c r="I55" s="25">
        <v>339.44</v>
      </c>
      <c r="J55" s="27">
        <f t="shared" ca="1" si="0"/>
        <v>46324.918643055556</v>
      </c>
      <c r="K55" s="28">
        <f t="shared" si="1"/>
        <v>10.8</v>
      </c>
      <c r="L55" s="29">
        <f t="shared" si="2"/>
        <v>-3326.5120000000002</v>
      </c>
      <c r="M55" s="30">
        <f t="shared" si="3"/>
        <v>54</v>
      </c>
      <c r="N55" s="30" t="str">
        <f t="shared" si="4"/>
        <v>Linda Brown</v>
      </c>
    </row>
    <row r="56" spans="1:14" ht="15.75" customHeight="1" x14ac:dyDescent="0.3">
      <c r="A56" s="25" t="s">
        <v>34</v>
      </c>
      <c r="B56" s="25" t="s">
        <v>40</v>
      </c>
      <c r="C56" s="25" t="s">
        <v>26</v>
      </c>
      <c r="D56" s="25" t="s">
        <v>23</v>
      </c>
      <c r="E56" s="25">
        <v>818.8</v>
      </c>
      <c r="F56" s="25">
        <v>15</v>
      </c>
      <c r="G56" s="25">
        <v>0.15</v>
      </c>
      <c r="H56" s="26">
        <v>45468</v>
      </c>
      <c r="I56" s="25">
        <v>173.99</v>
      </c>
      <c r="J56" s="27">
        <f t="shared" ca="1" si="0"/>
        <v>46324.918643055556</v>
      </c>
      <c r="K56" s="28">
        <f t="shared" si="1"/>
        <v>11</v>
      </c>
      <c r="L56" s="29">
        <f t="shared" si="2"/>
        <v>-1739.9</v>
      </c>
      <c r="M56" s="30">
        <f t="shared" si="3"/>
        <v>55</v>
      </c>
      <c r="N56" s="30" t="str">
        <f t="shared" si="4"/>
        <v>Sarah Anderson</v>
      </c>
    </row>
    <row r="57" spans="1:14" ht="15.75" customHeight="1" x14ac:dyDescent="0.3">
      <c r="A57" s="25" t="s">
        <v>21</v>
      </c>
      <c r="B57" s="25" t="s">
        <v>16</v>
      </c>
      <c r="C57" s="25" t="s">
        <v>22</v>
      </c>
      <c r="D57" s="25" t="s">
        <v>29</v>
      </c>
      <c r="E57" s="25">
        <v>919.04</v>
      </c>
      <c r="F57" s="25">
        <v>10</v>
      </c>
      <c r="G57" s="25">
        <v>0.2</v>
      </c>
      <c r="H57" s="26">
        <v>45468</v>
      </c>
      <c r="I57" s="25">
        <v>257.33</v>
      </c>
      <c r="J57" s="27">
        <f t="shared" ca="1" si="0"/>
        <v>46324.918643055556</v>
      </c>
      <c r="K57" s="28">
        <f t="shared" si="1"/>
        <v>11.200000000000001</v>
      </c>
      <c r="L57" s="29">
        <f t="shared" si="2"/>
        <v>-2624.7660000000001</v>
      </c>
      <c r="M57" s="30">
        <f t="shared" si="3"/>
        <v>56</v>
      </c>
      <c r="N57" s="30" t="str">
        <f t="shared" si="4"/>
        <v>James Wilson</v>
      </c>
    </row>
    <row r="58" spans="1:14" ht="15.75" customHeight="1" x14ac:dyDescent="0.3">
      <c r="A58" s="25" t="s">
        <v>24</v>
      </c>
      <c r="B58" s="25" t="s">
        <v>68</v>
      </c>
      <c r="C58" s="25" t="s">
        <v>36</v>
      </c>
      <c r="D58" s="25" t="s">
        <v>13</v>
      </c>
      <c r="E58" s="25">
        <v>973.26</v>
      </c>
      <c r="F58" s="25">
        <v>11</v>
      </c>
      <c r="G58" s="25">
        <v>0</v>
      </c>
      <c r="H58" s="26">
        <v>45470</v>
      </c>
      <c r="I58" s="25">
        <v>389.3</v>
      </c>
      <c r="J58" s="27">
        <f t="shared" ca="1" si="0"/>
        <v>46324.918643055556</v>
      </c>
      <c r="K58" s="28">
        <f t="shared" si="1"/>
        <v>11.4</v>
      </c>
      <c r="L58" s="29">
        <f t="shared" si="2"/>
        <v>-4048.7200000000003</v>
      </c>
      <c r="M58" s="30">
        <f t="shared" si="3"/>
        <v>57</v>
      </c>
      <c r="N58" s="30" t="str">
        <f t="shared" si="4"/>
        <v>James Wilson</v>
      </c>
    </row>
    <row r="59" spans="1:14" ht="15.75" customHeight="1" x14ac:dyDescent="0.3">
      <c r="A59" s="25" t="s">
        <v>43</v>
      </c>
      <c r="B59" s="25" t="s">
        <v>66</v>
      </c>
      <c r="C59" s="25" t="s">
        <v>26</v>
      </c>
      <c r="D59" s="25" t="s">
        <v>23</v>
      </c>
      <c r="E59" s="25">
        <v>741.61</v>
      </c>
      <c r="F59" s="25">
        <v>1</v>
      </c>
      <c r="G59" s="25">
        <v>0.2</v>
      </c>
      <c r="H59" s="26">
        <v>45471</v>
      </c>
      <c r="I59" s="25">
        <v>148.32</v>
      </c>
      <c r="J59" s="27">
        <f t="shared" ca="1" si="0"/>
        <v>46324.918643055556</v>
      </c>
      <c r="K59" s="28">
        <f t="shared" si="1"/>
        <v>11.600000000000001</v>
      </c>
      <c r="L59" s="29">
        <f t="shared" si="2"/>
        <v>-1572.1920000000002</v>
      </c>
      <c r="M59" s="30">
        <f t="shared" si="3"/>
        <v>58</v>
      </c>
      <c r="N59" s="30" t="str">
        <f t="shared" si="4"/>
        <v>David Smith</v>
      </c>
    </row>
    <row r="60" spans="1:14" ht="15.75" customHeight="1" x14ac:dyDescent="0.3">
      <c r="A60" s="25" t="s">
        <v>69</v>
      </c>
      <c r="B60" s="25" t="s">
        <v>40</v>
      </c>
      <c r="C60" s="25" t="s">
        <v>26</v>
      </c>
      <c r="D60" s="25" t="s">
        <v>13</v>
      </c>
      <c r="E60" s="25">
        <v>1248.82</v>
      </c>
      <c r="F60" s="25">
        <v>2</v>
      </c>
      <c r="G60" s="25">
        <v>0.1</v>
      </c>
      <c r="H60" s="26">
        <v>45473</v>
      </c>
      <c r="I60" s="25">
        <v>449.58</v>
      </c>
      <c r="J60" s="27">
        <f t="shared" ca="1" si="0"/>
        <v>46324.918643055556</v>
      </c>
      <c r="K60" s="28">
        <f t="shared" si="1"/>
        <v>11.8</v>
      </c>
      <c r="L60" s="29">
        <f t="shared" si="2"/>
        <v>-4855.4639999999999</v>
      </c>
      <c r="M60" s="30">
        <f t="shared" si="3"/>
        <v>59</v>
      </c>
      <c r="N60" s="30" t="str">
        <f t="shared" si="4"/>
        <v>Emma Davis</v>
      </c>
    </row>
    <row r="61" spans="1:14" ht="15.75" customHeight="1" x14ac:dyDescent="0.3">
      <c r="A61" s="25" t="s">
        <v>15</v>
      </c>
      <c r="B61" s="25" t="s">
        <v>61</v>
      </c>
      <c r="C61" s="25" t="s">
        <v>12</v>
      </c>
      <c r="D61" s="25" t="s">
        <v>17</v>
      </c>
      <c r="E61" s="25">
        <v>1360.36</v>
      </c>
      <c r="F61" s="25">
        <v>17</v>
      </c>
      <c r="G61" s="25">
        <v>0</v>
      </c>
      <c r="H61" s="26">
        <v>45473</v>
      </c>
      <c r="I61" s="25">
        <v>680.18</v>
      </c>
      <c r="J61" s="27">
        <f t="shared" ca="1" si="0"/>
        <v>46324.918643055556</v>
      </c>
      <c r="K61" s="28">
        <f t="shared" si="1"/>
        <v>12</v>
      </c>
      <c r="L61" s="29">
        <f t="shared" si="2"/>
        <v>-7481.98</v>
      </c>
      <c r="M61" s="30">
        <f t="shared" si="3"/>
        <v>60</v>
      </c>
      <c r="N61" s="30" t="str">
        <f t="shared" si="4"/>
        <v>Linda Jackson</v>
      </c>
    </row>
    <row r="62" spans="1:14" ht="15.75" customHeight="1" x14ac:dyDescent="0.3">
      <c r="A62" s="25" t="s">
        <v>59</v>
      </c>
      <c r="B62" s="25" t="s">
        <v>33</v>
      </c>
      <c r="C62" s="25" t="s">
        <v>20</v>
      </c>
      <c r="D62" s="25" t="s">
        <v>13</v>
      </c>
      <c r="E62" s="25">
        <v>1383.3</v>
      </c>
      <c r="F62" s="25">
        <v>8</v>
      </c>
      <c r="G62" s="25">
        <v>0.1</v>
      </c>
      <c r="H62" s="26">
        <v>45478</v>
      </c>
      <c r="I62" s="25">
        <v>497.99</v>
      </c>
      <c r="J62" s="27">
        <f t="shared" ca="1" si="0"/>
        <v>46324.918643055556</v>
      </c>
      <c r="K62" s="28">
        <f t="shared" si="1"/>
        <v>12.200000000000001</v>
      </c>
      <c r="L62" s="29">
        <f t="shared" si="2"/>
        <v>-5577.4880000000003</v>
      </c>
      <c r="M62" s="30">
        <f t="shared" si="3"/>
        <v>61</v>
      </c>
      <c r="N62" s="30" t="str">
        <f t="shared" si="4"/>
        <v>James Taylor</v>
      </c>
    </row>
    <row r="63" spans="1:14" ht="15.75" customHeight="1" x14ac:dyDescent="0.3">
      <c r="A63" s="25" t="s">
        <v>37</v>
      </c>
      <c r="B63" s="25" t="s">
        <v>57</v>
      </c>
      <c r="C63" s="25" t="s">
        <v>36</v>
      </c>
      <c r="D63" s="25" t="s">
        <v>41</v>
      </c>
      <c r="E63" s="25">
        <v>488.99</v>
      </c>
      <c r="F63" s="25">
        <v>9</v>
      </c>
      <c r="G63" s="25">
        <v>0</v>
      </c>
      <c r="H63" s="26">
        <v>45479</v>
      </c>
      <c r="I63" s="25">
        <v>220.05</v>
      </c>
      <c r="J63" s="27">
        <f t="shared" ca="1" si="0"/>
        <v>46324.918643055556</v>
      </c>
      <c r="K63" s="28">
        <f t="shared" si="1"/>
        <v>12.4</v>
      </c>
      <c r="L63" s="29">
        <f t="shared" si="2"/>
        <v>-2508.5700000000002</v>
      </c>
      <c r="M63" s="30">
        <f t="shared" si="3"/>
        <v>62</v>
      </c>
      <c r="N63" s="30" t="str">
        <f t="shared" si="4"/>
        <v>James Wilson</v>
      </c>
    </row>
    <row r="64" spans="1:14" ht="15.75" customHeight="1" x14ac:dyDescent="0.3">
      <c r="A64" s="25" t="s">
        <v>32</v>
      </c>
      <c r="B64" s="25" t="s">
        <v>33</v>
      </c>
      <c r="C64" s="25" t="s">
        <v>20</v>
      </c>
      <c r="D64" s="25" t="s">
        <v>29</v>
      </c>
      <c r="E64" s="25">
        <v>933.71</v>
      </c>
      <c r="F64" s="25">
        <v>17</v>
      </c>
      <c r="G64" s="25">
        <v>0.1</v>
      </c>
      <c r="H64" s="26">
        <v>45481</v>
      </c>
      <c r="I64" s="25">
        <v>294.12</v>
      </c>
      <c r="J64" s="27">
        <f t="shared" ca="1" si="0"/>
        <v>46324.918643055556</v>
      </c>
      <c r="K64" s="28">
        <f t="shared" si="1"/>
        <v>12.600000000000001</v>
      </c>
      <c r="L64" s="29">
        <f t="shared" si="2"/>
        <v>-3411.7920000000004</v>
      </c>
      <c r="M64" s="30">
        <f t="shared" si="3"/>
        <v>63</v>
      </c>
      <c r="N64" s="30" t="str">
        <f t="shared" si="4"/>
        <v>Linda Wilson</v>
      </c>
    </row>
    <row r="65" spans="1:14" ht="15.75" customHeight="1" x14ac:dyDescent="0.3">
      <c r="A65" s="25" t="s">
        <v>69</v>
      </c>
      <c r="B65" s="25" t="s">
        <v>11</v>
      </c>
      <c r="C65" s="25" t="s">
        <v>12</v>
      </c>
      <c r="D65" s="25" t="s">
        <v>23</v>
      </c>
      <c r="E65" s="25">
        <v>1005.53</v>
      </c>
      <c r="F65" s="25">
        <v>17</v>
      </c>
      <c r="G65" s="25">
        <v>0.2</v>
      </c>
      <c r="H65" s="26">
        <v>45481</v>
      </c>
      <c r="I65" s="25">
        <v>201.11</v>
      </c>
      <c r="J65" s="27">
        <f t="shared" ca="1" si="0"/>
        <v>46324.918643055556</v>
      </c>
      <c r="K65" s="28">
        <f t="shared" si="1"/>
        <v>12.8</v>
      </c>
      <c r="L65" s="29">
        <f t="shared" si="2"/>
        <v>-2373.0980000000004</v>
      </c>
      <c r="M65" s="30">
        <f t="shared" si="3"/>
        <v>64</v>
      </c>
      <c r="N65" s="30" t="str">
        <f t="shared" si="4"/>
        <v>Mary Davis</v>
      </c>
    </row>
    <row r="66" spans="1:14" ht="15.75" customHeight="1" x14ac:dyDescent="0.3">
      <c r="A66" s="25" t="s">
        <v>43</v>
      </c>
      <c r="B66" s="25" t="s">
        <v>63</v>
      </c>
      <c r="C66" s="25" t="s">
        <v>22</v>
      </c>
      <c r="D66" s="25" t="s">
        <v>23</v>
      </c>
      <c r="E66" s="25">
        <v>1100.0999999999999</v>
      </c>
      <c r="F66" s="25">
        <v>5</v>
      </c>
      <c r="G66" s="25">
        <v>0.05</v>
      </c>
      <c r="H66" s="26">
        <v>45482</v>
      </c>
      <c r="I66" s="25">
        <v>261.27</v>
      </c>
      <c r="J66" s="27">
        <f t="shared" ca="1" si="0"/>
        <v>46324.918643055556</v>
      </c>
      <c r="K66" s="28">
        <f t="shared" si="1"/>
        <v>13</v>
      </c>
      <c r="L66" s="29">
        <f t="shared" si="2"/>
        <v>-3135.24</v>
      </c>
      <c r="M66" s="30">
        <f t="shared" si="3"/>
        <v>65</v>
      </c>
      <c r="N66" s="30" t="str">
        <f t="shared" si="4"/>
        <v>Emma Taylor</v>
      </c>
    </row>
    <row r="67" spans="1:14" ht="15.75" customHeight="1" x14ac:dyDescent="0.3">
      <c r="A67" s="25" t="s">
        <v>69</v>
      </c>
      <c r="B67" s="25" t="s">
        <v>25</v>
      </c>
      <c r="C67" s="25" t="s">
        <v>26</v>
      </c>
      <c r="D67" s="25" t="s">
        <v>29</v>
      </c>
      <c r="E67" s="25">
        <v>1034.7</v>
      </c>
      <c r="F67" s="25">
        <v>15</v>
      </c>
      <c r="G67" s="25">
        <v>0.15</v>
      </c>
      <c r="H67" s="26">
        <v>45487</v>
      </c>
      <c r="I67" s="25">
        <v>307.82</v>
      </c>
      <c r="J67" s="27">
        <f t="shared" ref="J67:J130" ca="1" si="5">NOW()</f>
        <v>46324.918643055556</v>
      </c>
      <c r="K67" s="28">
        <f t="shared" ref="K67:K130" si="6">(ROW()-1)*0.2</f>
        <v>13.200000000000001</v>
      </c>
      <c r="L67" s="29">
        <f t="shared" ref="L67:L130" si="7">I67 * (1 - K67)</f>
        <v>-3755.4040000000005</v>
      </c>
      <c r="M67" s="30">
        <f t="shared" ref="M67:M130" si="8">ROW()-1</f>
        <v>66</v>
      </c>
      <c r="N67" s="30" t="str">
        <f t="shared" ref="N67:N130" si="9">INDEX($B$2:$B$201, MATCH(LARGE($E$2:$E$201, M67), $E$2:$E$201, 0))</f>
        <v>Robert Anderson</v>
      </c>
    </row>
    <row r="68" spans="1:14" ht="15.75" customHeight="1" x14ac:dyDescent="0.3">
      <c r="A68" s="25" t="s">
        <v>67</v>
      </c>
      <c r="B68" s="25" t="s">
        <v>33</v>
      </c>
      <c r="C68" s="25" t="s">
        <v>22</v>
      </c>
      <c r="D68" s="25" t="s">
        <v>13</v>
      </c>
      <c r="E68" s="25">
        <v>876.44</v>
      </c>
      <c r="F68" s="25">
        <v>12</v>
      </c>
      <c r="G68" s="25">
        <v>0.05</v>
      </c>
      <c r="H68" s="26">
        <v>45488</v>
      </c>
      <c r="I68" s="25">
        <v>333.05</v>
      </c>
      <c r="J68" s="27">
        <f t="shared" ca="1" si="5"/>
        <v>46324.918643055556</v>
      </c>
      <c r="K68" s="28">
        <f t="shared" si="6"/>
        <v>13.4</v>
      </c>
      <c r="L68" s="29">
        <f t="shared" si="7"/>
        <v>-4129.8200000000006</v>
      </c>
      <c r="M68" s="30">
        <f t="shared" si="8"/>
        <v>67</v>
      </c>
      <c r="N68" s="30" t="str">
        <f t="shared" si="9"/>
        <v>Emma Wilson</v>
      </c>
    </row>
    <row r="69" spans="1:14" ht="15.75" customHeight="1" x14ac:dyDescent="0.3">
      <c r="A69" s="25" t="s">
        <v>70</v>
      </c>
      <c r="B69" s="25" t="s">
        <v>57</v>
      </c>
      <c r="C69" s="25" t="s">
        <v>12</v>
      </c>
      <c r="D69" s="25" t="s">
        <v>29</v>
      </c>
      <c r="E69" s="25">
        <v>1371.34</v>
      </c>
      <c r="F69" s="25">
        <v>5</v>
      </c>
      <c r="G69" s="25">
        <v>0.05</v>
      </c>
      <c r="H69" s="26">
        <v>45488</v>
      </c>
      <c r="I69" s="25">
        <v>455.97</v>
      </c>
      <c r="J69" s="27">
        <f t="shared" ca="1" si="5"/>
        <v>46324.918643055556</v>
      </c>
      <c r="K69" s="28">
        <f t="shared" si="6"/>
        <v>13.600000000000001</v>
      </c>
      <c r="L69" s="29">
        <f t="shared" si="7"/>
        <v>-5745.2220000000007</v>
      </c>
      <c r="M69" s="30">
        <f t="shared" si="8"/>
        <v>68</v>
      </c>
      <c r="N69" s="30" t="str">
        <f t="shared" si="9"/>
        <v>Linda Wilson</v>
      </c>
    </row>
    <row r="70" spans="1:14" ht="15.75" customHeight="1" x14ac:dyDescent="0.3">
      <c r="A70" s="25" t="s">
        <v>59</v>
      </c>
      <c r="B70" s="25" t="s">
        <v>49</v>
      </c>
      <c r="C70" s="25" t="s">
        <v>26</v>
      </c>
      <c r="D70" s="25" t="s">
        <v>23</v>
      </c>
      <c r="E70" s="25">
        <v>1020.26</v>
      </c>
      <c r="F70" s="25">
        <v>11</v>
      </c>
      <c r="G70" s="25">
        <v>0.05</v>
      </c>
      <c r="H70" s="26">
        <v>45494</v>
      </c>
      <c r="I70" s="25">
        <v>242.31</v>
      </c>
      <c r="J70" s="27">
        <f t="shared" ca="1" si="5"/>
        <v>46324.918643055556</v>
      </c>
      <c r="K70" s="28">
        <f t="shared" si="6"/>
        <v>13.8</v>
      </c>
      <c r="L70" s="29">
        <f t="shared" si="7"/>
        <v>-3101.5680000000002</v>
      </c>
      <c r="M70" s="30">
        <f t="shared" si="8"/>
        <v>69</v>
      </c>
      <c r="N70" s="30" t="str">
        <f t="shared" si="9"/>
        <v>Lisa Thomas</v>
      </c>
    </row>
    <row r="71" spans="1:14" ht="15.75" customHeight="1" x14ac:dyDescent="0.3">
      <c r="A71" s="25" t="s">
        <v>46</v>
      </c>
      <c r="B71" s="25" t="s">
        <v>11</v>
      </c>
      <c r="C71" s="25" t="s">
        <v>36</v>
      </c>
      <c r="D71" s="25" t="s">
        <v>41</v>
      </c>
      <c r="E71" s="25">
        <v>804.81</v>
      </c>
      <c r="F71" s="25">
        <v>1</v>
      </c>
      <c r="G71" s="25">
        <v>0.05</v>
      </c>
      <c r="H71" s="26">
        <v>45502</v>
      </c>
      <c r="I71" s="25">
        <v>344.06</v>
      </c>
      <c r="J71" s="27">
        <f t="shared" ca="1" si="5"/>
        <v>46324.918643055556</v>
      </c>
      <c r="K71" s="28">
        <f t="shared" si="6"/>
        <v>14</v>
      </c>
      <c r="L71" s="29">
        <f t="shared" si="7"/>
        <v>-4472.78</v>
      </c>
      <c r="M71" s="30">
        <f t="shared" si="8"/>
        <v>70</v>
      </c>
      <c r="N71" s="30" t="str">
        <f t="shared" si="9"/>
        <v>Emma Wilson</v>
      </c>
    </row>
    <row r="72" spans="1:14" ht="15.75" customHeight="1" x14ac:dyDescent="0.3">
      <c r="A72" s="25" t="s">
        <v>24</v>
      </c>
      <c r="B72" s="25" t="s">
        <v>57</v>
      </c>
      <c r="C72" s="25" t="s">
        <v>36</v>
      </c>
      <c r="D72" s="25" t="s">
        <v>23</v>
      </c>
      <c r="E72" s="25">
        <v>608.66</v>
      </c>
      <c r="F72" s="25">
        <v>1</v>
      </c>
      <c r="G72" s="25">
        <v>0.05</v>
      </c>
      <c r="H72" s="26">
        <v>45503</v>
      </c>
      <c r="I72" s="25">
        <v>144.56</v>
      </c>
      <c r="J72" s="27">
        <f t="shared" ca="1" si="5"/>
        <v>46324.918643055556</v>
      </c>
      <c r="K72" s="28">
        <f t="shared" si="6"/>
        <v>14.200000000000001</v>
      </c>
      <c r="L72" s="29">
        <f t="shared" si="7"/>
        <v>-1908.1920000000002</v>
      </c>
      <c r="M72" s="30">
        <f t="shared" si="8"/>
        <v>71</v>
      </c>
      <c r="N72" s="30" t="str">
        <f t="shared" si="9"/>
        <v>Sarah Davis</v>
      </c>
    </row>
    <row r="73" spans="1:14" ht="15.75" customHeight="1" x14ac:dyDescent="0.3">
      <c r="A73" s="25" t="s">
        <v>70</v>
      </c>
      <c r="B73" s="25" t="s">
        <v>71</v>
      </c>
      <c r="C73" s="25" t="s">
        <v>22</v>
      </c>
      <c r="D73" s="25" t="s">
        <v>41</v>
      </c>
      <c r="E73" s="25">
        <v>981.2</v>
      </c>
      <c r="F73" s="25">
        <v>19</v>
      </c>
      <c r="G73" s="25">
        <v>0</v>
      </c>
      <c r="H73" s="26">
        <v>45504</v>
      </c>
      <c r="I73" s="25">
        <v>441.54</v>
      </c>
      <c r="J73" s="27">
        <f t="shared" ca="1" si="5"/>
        <v>46324.918643055556</v>
      </c>
      <c r="K73" s="28">
        <f t="shared" si="6"/>
        <v>14.4</v>
      </c>
      <c r="L73" s="29">
        <f t="shared" si="7"/>
        <v>-5916.6360000000004</v>
      </c>
      <c r="M73" s="30">
        <f t="shared" si="8"/>
        <v>72</v>
      </c>
      <c r="N73" s="30" t="str">
        <f t="shared" si="9"/>
        <v>James Wilson</v>
      </c>
    </row>
    <row r="74" spans="1:14" ht="15.75" customHeight="1" x14ac:dyDescent="0.3">
      <c r="A74" s="25" t="s">
        <v>72</v>
      </c>
      <c r="B74" s="25" t="s">
        <v>57</v>
      </c>
      <c r="C74" s="25" t="s">
        <v>20</v>
      </c>
      <c r="D74" s="25" t="s">
        <v>23</v>
      </c>
      <c r="E74" s="25">
        <v>539.77</v>
      </c>
      <c r="F74" s="25">
        <v>10</v>
      </c>
      <c r="G74" s="25">
        <v>0.15</v>
      </c>
      <c r="H74" s="26">
        <v>45509</v>
      </c>
      <c r="I74" s="25">
        <v>114.7</v>
      </c>
      <c r="J74" s="27">
        <f t="shared" ca="1" si="5"/>
        <v>46324.918643055556</v>
      </c>
      <c r="K74" s="28">
        <f t="shared" si="6"/>
        <v>14.600000000000001</v>
      </c>
      <c r="L74" s="29">
        <f t="shared" si="7"/>
        <v>-1559.9200000000003</v>
      </c>
      <c r="M74" s="30">
        <f t="shared" si="8"/>
        <v>73</v>
      </c>
      <c r="N74" s="30" t="str">
        <f t="shared" si="9"/>
        <v>Lisa Thomas</v>
      </c>
    </row>
    <row r="75" spans="1:14" ht="15.75" customHeight="1" x14ac:dyDescent="0.3">
      <c r="A75" s="25" t="s">
        <v>15</v>
      </c>
      <c r="B75" s="25" t="s">
        <v>73</v>
      </c>
      <c r="C75" s="25" t="s">
        <v>22</v>
      </c>
      <c r="D75" s="25" t="s">
        <v>13</v>
      </c>
      <c r="E75" s="25">
        <v>804.45</v>
      </c>
      <c r="F75" s="25">
        <v>5</v>
      </c>
      <c r="G75" s="25">
        <v>0.2</v>
      </c>
      <c r="H75" s="26">
        <v>45509</v>
      </c>
      <c r="I75" s="25">
        <v>257.42</v>
      </c>
      <c r="J75" s="27">
        <f t="shared" ca="1" si="5"/>
        <v>46324.918643055556</v>
      </c>
      <c r="K75" s="28">
        <f t="shared" si="6"/>
        <v>14.8</v>
      </c>
      <c r="L75" s="29">
        <f t="shared" si="7"/>
        <v>-3552.3960000000002</v>
      </c>
      <c r="M75" s="30">
        <f t="shared" si="8"/>
        <v>74</v>
      </c>
      <c r="N75" s="30" t="str">
        <f t="shared" si="9"/>
        <v>Lisa Thomas</v>
      </c>
    </row>
    <row r="76" spans="1:14" ht="15.75" customHeight="1" x14ac:dyDescent="0.3">
      <c r="A76" s="25" t="s">
        <v>72</v>
      </c>
      <c r="B76" s="25" t="s">
        <v>40</v>
      </c>
      <c r="C76" s="25" t="s">
        <v>12</v>
      </c>
      <c r="D76" s="25" t="s">
        <v>23</v>
      </c>
      <c r="E76" s="25">
        <v>1526.6</v>
      </c>
      <c r="F76" s="25">
        <v>13</v>
      </c>
      <c r="G76" s="25">
        <v>0.2</v>
      </c>
      <c r="H76" s="26">
        <v>45512</v>
      </c>
      <c r="I76" s="25">
        <v>305.32</v>
      </c>
      <c r="J76" s="27">
        <f t="shared" ca="1" si="5"/>
        <v>46324.918643055556</v>
      </c>
      <c r="K76" s="28">
        <f t="shared" si="6"/>
        <v>15</v>
      </c>
      <c r="L76" s="29">
        <f t="shared" si="7"/>
        <v>-4274.4799999999996</v>
      </c>
      <c r="M76" s="30">
        <f t="shared" si="8"/>
        <v>75</v>
      </c>
      <c r="N76" s="30" t="str">
        <f t="shared" si="9"/>
        <v>Mary Davis</v>
      </c>
    </row>
    <row r="77" spans="1:14" ht="15.75" customHeight="1" x14ac:dyDescent="0.3">
      <c r="A77" s="25" t="s">
        <v>15</v>
      </c>
      <c r="B77" s="25" t="s">
        <v>31</v>
      </c>
      <c r="C77" s="25" t="s">
        <v>12</v>
      </c>
      <c r="D77" s="25" t="s">
        <v>23</v>
      </c>
      <c r="E77" s="25">
        <v>1215.26</v>
      </c>
      <c r="F77" s="25">
        <v>5</v>
      </c>
      <c r="G77" s="25">
        <v>0.15</v>
      </c>
      <c r="H77" s="26">
        <v>45513</v>
      </c>
      <c r="I77" s="25">
        <v>258.24</v>
      </c>
      <c r="J77" s="27">
        <f t="shared" ca="1" si="5"/>
        <v>46324.918643055556</v>
      </c>
      <c r="K77" s="28">
        <f t="shared" si="6"/>
        <v>15.200000000000001</v>
      </c>
      <c r="L77" s="29">
        <f t="shared" si="7"/>
        <v>-3667.0080000000003</v>
      </c>
      <c r="M77" s="30">
        <f t="shared" si="8"/>
        <v>76</v>
      </c>
      <c r="N77" s="30" t="str">
        <f t="shared" si="9"/>
        <v>Lisa Davis</v>
      </c>
    </row>
    <row r="78" spans="1:14" ht="15.75" customHeight="1" x14ac:dyDescent="0.3">
      <c r="A78" s="25" t="s">
        <v>21</v>
      </c>
      <c r="B78" s="25" t="s">
        <v>55</v>
      </c>
      <c r="C78" s="25" t="s">
        <v>36</v>
      </c>
      <c r="D78" s="25" t="s">
        <v>29</v>
      </c>
      <c r="E78" s="25">
        <v>1261.3399999999999</v>
      </c>
      <c r="F78" s="25">
        <v>3</v>
      </c>
      <c r="G78" s="25">
        <v>0</v>
      </c>
      <c r="H78" s="26">
        <v>45519</v>
      </c>
      <c r="I78" s="25">
        <v>441.47</v>
      </c>
      <c r="J78" s="27">
        <f t="shared" ca="1" si="5"/>
        <v>46324.918643055556</v>
      </c>
      <c r="K78" s="28">
        <f t="shared" si="6"/>
        <v>15.4</v>
      </c>
      <c r="L78" s="29">
        <f t="shared" si="7"/>
        <v>-6357.1680000000006</v>
      </c>
      <c r="M78" s="30">
        <f t="shared" si="8"/>
        <v>77</v>
      </c>
      <c r="N78" s="30" t="str">
        <f t="shared" si="9"/>
        <v>Emma Davis</v>
      </c>
    </row>
    <row r="79" spans="1:14" ht="15.75" customHeight="1" x14ac:dyDescent="0.3">
      <c r="A79" s="25" t="s">
        <v>74</v>
      </c>
      <c r="B79" s="25" t="s">
        <v>47</v>
      </c>
      <c r="C79" s="25" t="s">
        <v>26</v>
      </c>
      <c r="D79" s="25" t="s">
        <v>29</v>
      </c>
      <c r="E79" s="25">
        <v>518.07000000000005</v>
      </c>
      <c r="F79" s="25">
        <v>7</v>
      </c>
      <c r="G79" s="25">
        <v>0.05</v>
      </c>
      <c r="H79" s="26">
        <v>45522</v>
      </c>
      <c r="I79" s="25">
        <v>172.26</v>
      </c>
      <c r="J79" s="27">
        <f t="shared" ca="1" si="5"/>
        <v>46324.918643055556</v>
      </c>
      <c r="K79" s="28">
        <f t="shared" si="6"/>
        <v>15.600000000000001</v>
      </c>
      <c r="L79" s="29">
        <f t="shared" si="7"/>
        <v>-2514.9960000000001</v>
      </c>
      <c r="M79" s="30">
        <f t="shared" si="8"/>
        <v>78</v>
      </c>
      <c r="N79" s="30" t="str">
        <f t="shared" si="9"/>
        <v>Lisa Thomas</v>
      </c>
    </row>
    <row r="80" spans="1:14" ht="15.75" customHeight="1" x14ac:dyDescent="0.3">
      <c r="A80" s="25" t="s">
        <v>32</v>
      </c>
      <c r="B80" s="25" t="s">
        <v>31</v>
      </c>
      <c r="C80" s="25" t="s">
        <v>12</v>
      </c>
      <c r="D80" s="25" t="s">
        <v>41</v>
      </c>
      <c r="E80" s="25">
        <v>1111.3399999999999</v>
      </c>
      <c r="F80" s="25">
        <v>1</v>
      </c>
      <c r="G80" s="25">
        <v>0</v>
      </c>
      <c r="H80" s="26">
        <v>45523</v>
      </c>
      <c r="I80" s="25">
        <v>500.1</v>
      </c>
      <c r="J80" s="27">
        <f t="shared" ca="1" si="5"/>
        <v>46324.918643055556</v>
      </c>
      <c r="K80" s="28">
        <f t="shared" si="6"/>
        <v>15.8</v>
      </c>
      <c r="L80" s="29">
        <f t="shared" si="7"/>
        <v>-7401.4800000000005</v>
      </c>
      <c r="M80" s="30">
        <f t="shared" si="8"/>
        <v>79</v>
      </c>
      <c r="N80" s="30" t="str">
        <f t="shared" si="9"/>
        <v>Robert Anderson</v>
      </c>
    </row>
    <row r="81" spans="1:14" ht="15.75" customHeight="1" x14ac:dyDescent="0.3">
      <c r="A81" s="25" t="s">
        <v>24</v>
      </c>
      <c r="B81" s="25" t="s">
        <v>33</v>
      </c>
      <c r="C81" s="25" t="s">
        <v>20</v>
      </c>
      <c r="D81" s="25" t="s">
        <v>17</v>
      </c>
      <c r="E81" s="25">
        <v>1291.47</v>
      </c>
      <c r="F81" s="25">
        <v>18</v>
      </c>
      <c r="G81" s="25">
        <v>0.1</v>
      </c>
      <c r="H81" s="26">
        <v>45526</v>
      </c>
      <c r="I81" s="25">
        <v>581.16</v>
      </c>
      <c r="J81" s="27">
        <f t="shared" ca="1" si="5"/>
        <v>46324.918643055556</v>
      </c>
      <c r="K81" s="28">
        <f t="shared" si="6"/>
        <v>16</v>
      </c>
      <c r="L81" s="29">
        <f t="shared" si="7"/>
        <v>-8717.4</v>
      </c>
      <c r="M81" s="30">
        <f t="shared" si="8"/>
        <v>80</v>
      </c>
      <c r="N81" s="30" t="str">
        <f t="shared" si="9"/>
        <v>James Davis</v>
      </c>
    </row>
    <row r="82" spans="1:14" ht="15.75" customHeight="1" x14ac:dyDescent="0.3">
      <c r="A82" s="25" t="s">
        <v>27</v>
      </c>
      <c r="B82" s="25" t="s">
        <v>57</v>
      </c>
      <c r="C82" s="25" t="s">
        <v>26</v>
      </c>
      <c r="D82" s="25" t="s">
        <v>13</v>
      </c>
      <c r="E82" s="25">
        <v>679.71</v>
      </c>
      <c r="F82" s="25">
        <v>19</v>
      </c>
      <c r="G82" s="25">
        <v>0</v>
      </c>
      <c r="H82" s="26">
        <v>45534</v>
      </c>
      <c r="I82" s="25">
        <v>271.88</v>
      </c>
      <c r="J82" s="27">
        <f t="shared" ca="1" si="5"/>
        <v>46324.918643055556</v>
      </c>
      <c r="K82" s="28">
        <f t="shared" si="6"/>
        <v>16.2</v>
      </c>
      <c r="L82" s="29">
        <f t="shared" si="7"/>
        <v>-4132.576</v>
      </c>
      <c r="M82" s="30">
        <f t="shared" si="8"/>
        <v>81</v>
      </c>
      <c r="N82" s="30" t="str">
        <f t="shared" si="9"/>
        <v>James Wilson</v>
      </c>
    </row>
    <row r="83" spans="1:14" ht="15.75" customHeight="1" x14ac:dyDescent="0.3">
      <c r="A83" s="25" t="s">
        <v>70</v>
      </c>
      <c r="B83" s="25" t="s">
        <v>35</v>
      </c>
      <c r="C83" s="25" t="s">
        <v>20</v>
      </c>
      <c r="D83" s="25" t="s">
        <v>29</v>
      </c>
      <c r="E83" s="25">
        <v>1143.69</v>
      </c>
      <c r="F83" s="25">
        <v>17</v>
      </c>
      <c r="G83" s="25">
        <v>0</v>
      </c>
      <c r="H83" s="26">
        <v>45534</v>
      </c>
      <c r="I83" s="25">
        <v>400.29</v>
      </c>
      <c r="J83" s="27">
        <f t="shared" ca="1" si="5"/>
        <v>46324.918643055556</v>
      </c>
      <c r="K83" s="28">
        <f t="shared" si="6"/>
        <v>16.400000000000002</v>
      </c>
      <c r="L83" s="29">
        <f t="shared" si="7"/>
        <v>-6164.4660000000013</v>
      </c>
      <c r="M83" s="30">
        <f t="shared" si="8"/>
        <v>82</v>
      </c>
      <c r="N83" s="30" t="str">
        <f t="shared" si="9"/>
        <v>David Brown</v>
      </c>
    </row>
    <row r="84" spans="1:14" ht="15.75" customHeight="1" x14ac:dyDescent="0.3">
      <c r="A84" s="25" t="s">
        <v>54</v>
      </c>
      <c r="B84" s="25" t="s">
        <v>52</v>
      </c>
      <c r="C84" s="25" t="s">
        <v>36</v>
      </c>
      <c r="D84" s="25" t="s">
        <v>23</v>
      </c>
      <c r="E84" s="25">
        <v>790.08</v>
      </c>
      <c r="F84" s="25">
        <v>7</v>
      </c>
      <c r="G84" s="25">
        <v>0.1</v>
      </c>
      <c r="H84" s="26">
        <v>45536</v>
      </c>
      <c r="I84" s="25">
        <v>177.77</v>
      </c>
      <c r="J84" s="27">
        <f t="shared" ca="1" si="5"/>
        <v>46324.918643055556</v>
      </c>
      <c r="K84" s="28">
        <f t="shared" si="6"/>
        <v>16.600000000000001</v>
      </c>
      <c r="L84" s="29">
        <f t="shared" si="7"/>
        <v>-2773.2120000000004</v>
      </c>
      <c r="M84" s="30">
        <f t="shared" si="8"/>
        <v>83</v>
      </c>
      <c r="N84" s="30" t="str">
        <f t="shared" si="9"/>
        <v>James Wilson</v>
      </c>
    </row>
    <row r="85" spans="1:14" ht="15.75" customHeight="1" x14ac:dyDescent="0.3">
      <c r="A85" s="25" t="s">
        <v>21</v>
      </c>
      <c r="B85" s="25" t="s">
        <v>50</v>
      </c>
      <c r="C85" s="25" t="s">
        <v>36</v>
      </c>
      <c r="D85" s="25" t="s">
        <v>13</v>
      </c>
      <c r="E85" s="25">
        <v>1070.68</v>
      </c>
      <c r="F85" s="25">
        <v>7</v>
      </c>
      <c r="G85" s="25">
        <v>0.05</v>
      </c>
      <c r="H85" s="26">
        <v>45536</v>
      </c>
      <c r="I85" s="25">
        <v>406.86</v>
      </c>
      <c r="J85" s="27">
        <f t="shared" ca="1" si="5"/>
        <v>46324.918643055556</v>
      </c>
      <c r="K85" s="28">
        <f t="shared" si="6"/>
        <v>16.8</v>
      </c>
      <c r="L85" s="29">
        <f t="shared" si="7"/>
        <v>-6428.3880000000008</v>
      </c>
      <c r="M85" s="30">
        <f t="shared" si="8"/>
        <v>84</v>
      </c>
      <c r="N85" s="30" t="str">
        <f t="shared" si="9"/>
        <v>David Davis</v>
      </c>
    </row>
    <row r="86" spans="1:14" ht="15.75" customHeight="1" x14ac:dyDescent="0.3">
      <c r="A86" s="25" t="s">
        <v>60</v>
      </c>
      <c r="B86" s="25" t="s">
        <v>38</v>
      </c>
      <c r="C86" s="25" t="s">
        <v>12</v>
      </c>
      <c r="D86" s="25" t="s">
        <v>17</v>
      </c>
      <c r="E86" s="25">
        <v>1168.8900000000001</v>
      </c>
      <c r="F86" s="25">
        <v>4</v>
      </c>
      <c r="G86" s="25">
        <v>0.1</v>
      </c>
      <c r="H86" s="26">
        <v>45544</v>
      </c>
      <c r="I86" s="25">
        <v>526</v>
      </c>
      <c r="J86" s="27">
        <f t="shared" ca="1" si="5"/>
        <v>46324.918643055556</v>
      </c>
      <c r="K86" s="28">
        <f t="shared" si="6"/>
        <v>17</v>
      </c>
      <c r="L86" s="29">
        <f t="shared" si="7"/>
        <v>-8416</v>
      </c>
      <c r="M86" s="30">
        <f t="shared" si="8"/>
        <v>85</v>
      </c>
      <c r="N86" s="30" t="str">
        <f t="shared" si="9"/>
        <v>Mary Davis</v>
      </c>
    </row>
    <row r="87" spans="1:14" ht="15.75" customHeight="1" x14ac:dyDescent="0.3">
      <c r="A87" s="25" t="s">
        <v>69</v>
      </c>
      <c r="B87" s="25" t="s">
        <v>11</v>
      </c>
      <c r="C87" s="25" t="s">
        <v>22</v>
      </c>
      <c r="D87" s="25" t="s">
        <v>23</v>
      </c>
      <c r="E87" s="25">
        <v>1335.87</v>
      </c>
      <c r="F87" s="25">
        <v>17</v>
      </c>
      <c r="G87" s="25">
        <v>0</v>
      </c>
      <c r="H87" s="26">
        <v>45544</v>
      </c>
      <c r="I87" s="25">
        <v>333.97</v>
      </c>
      <c r="J87" s="27">
        <f t="shared" ca="1" si="5"/>
        <v>46324.918643055556</v>
      </c>
      <c r="K87" s="28">
        <f t="shared" si="6"/>
        <v>17.2</v>
      </c>
      <c r="L87" s="29">
        <f t="shared" si="7"/>
        <v>-5410.3140000000003</v>
      </c>
      <c r="M87" s="30">
        <f t="shared" si="8"/>
        <v>86</v>
      </c>
      <c r="N87" s="30" t="str">
        <f t="shared" si="9"/>
        <v>Linda Jackson</v>
      </c>
    </row>
    <row r="88" spans="1:14" ht="15.75" customHeight="1" x14ac:dyDescent="0.3">
      <c r="A88" s="25" t="s">
        <v>42</v>
      </c>
      <c r="B88" s="25" t="s">
        <v>57</v>
      </c>
      <c r="C88" s="25" t="s">
        <v>20</v>
      </c>
      <c r="D88" s="25" t="s">
        <v>29</v>
      </c>
      <c r="E88" s="25">
        <v>873.7</v>
      </c>
      <c r="F88" s="25">
        <v>9</v>
      </c>
      <c r="G88" s="25">
        <v>0</v>
      </c>
      <c r="H88" s="26">
        <v>45546</v>
      </c>
      <c r="I88" s="25">
        <v>305.8</v>
      </c>
      <c r="J88" s="27">
        <f t="shared" ca="1" si="5"/>
        <v>46324.918643055556</v>
      </c>
      <c r="K88" s="28">
        <f t="shared" si="6"/>
        <v>17.400000000000002</v>
      </c>
      <c r="L88" s="29">
        <f t="shared" si="7"/>
        <v>-5015.1200000000008</v>
      </c>
      <c r="M88" s="30">
        <f t="shared" si="8"/>
        <v>87</v>
      </c>
      <c r="N88" s="30" t="str">
        <f t="shared" si="9"/>
        <v>Mary Jackson</v>
      </c>
    </row>
    <row r="89" spans="1:14" ht="15.75" customHeight="1" x14ac:dyDescent="0.3">
      <c r="A89" s="25" t="s">
        <v>74</v>
      </c>
      <c r="B89" s="25" t="s">
        <v>66</v>
      </c>
      <c r="C89" s="25" t="s">
        <v>12</v>
      </c>
      <c r="D89" s="25" t="s">
        <v>41</v>
      </c>
      <c r="E89" s="25">
        <v>1443.98</v>
      </c>
      <c r="F89" s="25">
        <v>19</v>
      </c>
      <c r="G89" s="25">
        <v>0</v>
      </c>
      <c r="H89" s="26">
        <v>45547</v>
      </c>
      <c r="I89" s="25">
        <v>649.79</v>
      </c>
      <c r="J89" s="27">
        <f t="shared" ca="1" si="5"/>
        <v>46324.918643055556</v>
      </c>
      <c r="K89" s="28">
        <f t="shared" si="6"/>
        <v>17.600000000000001</v>
      </c>
      <c r="L89" s="29">
        <f t="shared" si="7"/>
        <v>-10786.514000000001</v>
      </c>
      <c r="M89" s="30">
        <f t="shared" si="8"/>
        <v>88</v>
      </c>
      <c r="N89" s="30" t="str">
        <f t="shared" si="9"/>
        <v>Lisa Thomas</v>
      </c>
    </row>
    <row r="90" spans="1:14" ht="15.75" customHeight="1" x14ac:dyDescent="0.3">
      <c r="A90" s="25" t="s">
        <v>42</v>
      </c>
      <c r="B90" s="25" t="s">
        <v>25</v>
      </c>
      <c r="C90" s="25" t="s">
        <v>20</v>
      </c>
      <c r="D90" s="25" t="s">
        <v>41</v>
      </c>
      <c r="E90" s="25">
        <v>1154.33</v>
      </c>
      <c r="F90" s="25">
        <v>11</v>
      </c>
      <c r="G90" s="25">
        <v>0.15</v>
      </c>
      <c r="H90" s="26">
        <v>45549</v>
      </c>
      <c r="I90" s="25">
        <v>441.53</v>
      </c>
      <c r="J90" s="27">
        <f t="shared" ca="1" si="5"/>
        <v>46324.918643055556</v>
      </c>
      <c r="K90" s="28">
        <f t="shared" si="6"/>
        <v>17.8</v>
      </c>
      <c r="L90" s="29">
        <f t="shared" si="7"/>
        <v>-7417.7039999999997</v>
      </c>
      <c r="M90" s="30">
        <f t="shared" si="8"/>
        <v>89</v>
      </c>
      <c r="N90" s="30" t="str">
        <f t="shared" si="9"/>
        <v>Linda Taylor</v>
      </c>
    </row>
    <row r="91" spans="1:14" ht="15.75" customHeight="1" x14ac:dyDescent="0.3">
      <c r="A91" s="25" t="s">
        <v>51</v>
      </c>
      <c r="B91" s="25" t="s">
        <v>52</v>
      </c>
      <c r="C91" s="25" t="s">
        <v>22</v>
      </c>
      <c r="D91" s="25" t="s">
        <v>13</v>
      </c>
      <c r="E91" s="25">
        <v>1264.49</v>
      </c>
      <c r="F91" s="25">
        <v>16</v>
      </c>
      <c r="G91" s="25">
        <v>0.05</v>
      </c>
      <c r="H91" s="26">
        <v>45549</v>
      </c>
      <c r="I91" s="25">
        <v>480.51</v>
      </c>
      <c r="J91" s="27">
        <f t="shared" ca="1" si="5"/>
        <v>46324.918643055556</v>
      </c>
      <c r="K91" s="28">
        <f t="shared" si="6"/>
        <v>18</v>
      </c>
      <c r="L91" s="29">
        <f t="shared" si="7"/>
        <v>-8168.67</v>
      </c>
      <c r="M91" s="30">
        <f t="shared" si="8"/>
        <v>90</v>
      </c>
      <c r="N91" s="30" t="str">
        <f t="shared" si="9"/>
        <v>James Wilson</v>
      </c>
    </row>
    <row r="92" spans="1:14" ht="15.75" customHeight="1" x14ac:dyDescent="0.3">
      <c r="A92" s="25" t="s">
        <v>27</v>
      </c>
      <c r="B92" s="25" t="s">
        <v>68</v>
      </c>
      <c r="C92" s="25" t="s">
        <v>12</v>
      </c>
      <c r="D92" s="25" t="s">
        <v>29</v>
      </c>
      <c r="E92" s="25">
        <v>1101.55</v>
      </c>
      <c r="F92" s="25">
        <v>4</v>
      </c>
      <c r="G92" s="25">
        <v>0.1</v>
      </c>
      <c r="H92" s="26">
        <v>45551</v>
      </c>
      <c r="I92" s="25">
        <v>346.99</v>
      </c>
      <c r="J92" s="27">
        <f t="shared" ca="1" si="5"/>
        <v>46324.918643055556</v>
      </c>
      <c r="K92" s="28">
        <f t="shared" si="6"/>
        <v>18.2</v>
      </c>
      <c r="L92" s="29">
        <f t="shared" si="7"/>
        <v>-5968.2280000000001</v>
      </c>
      <c r="M92" s="30">
        <f t="shared" si="8"/>
        <v>91</v>
      </c>
      <c r="N92" s="30" t="str">
        <f t="shared" si="9"/>
        <v>David Davis</v>
      </c>
    </row>
    <row r="93" spans="1:14" ht="15.75" customHeight="1" x14ac:dyDescent="0.3">
      <c r="A93" s="25" t="s">
        <v>75</v>
      </c>
      <c r="B93" s="25" t="s">
        <v>16</v>
      </c>
      <c r="C93" s="25" t="s">
        <v>22</v>
      </c>
      <c r="D93" s="25" t="s">
        <v>29</v>
      </c>
      <c r="E93" s="25">
        <v>727.73</v>
      </c>
      <c r="F93" s="25">
        <v>1</v>
      </c>
      <c r="G93" s="25">
        <v>0.1</v>
      </c>
      <c r="H93" s="26">
        <v>45552</v>
      </c>
      <c r="I93" s="25">
        <v>229.23</v>
      </c>
      <c r="J93" s="27">
        <f t="shared" ca="1" si="5"/>
        <v>46324.918643055556</v>
      </c>
      <c r="K93" s="28">
        <f t="shared" si="6"/>
        <v>18.400000000000002</v>
      </c>
      <c r="L93" s="29">
        <f t="shared" si="7"/>
        <v>-3988.6020000000003</v>
      </c>
      <c r="M93" s="30">
        <f t="shared" si="8"/>
        <v>92</v>
      </c>
      <c r="N93" s="30" t="str">
        <f t="shared" si="9"/>
        <v>Lisa Davis</v>
      </c>
    </row>
    <row r="94" spans="1:14" ht="15.75" customHeight="1" x14ac:dyDescent="0.3">
      <c r="A94" s="25" t="s">
        <v>76</v>
      </c>
      <c r="B94" s="25" t="s">
        <v>40</v>
      </c>
      <c r="C94" s="25" t="s">
        <v>20</v>
      </c>
      <c r="D94" s="25" t="s">
        <v>41</v>
      </c>
      <c r="E94" s="25">
        <v>875.41</v>
      </c>
      <c r="F94" s="25">
        <v>13</v>
      </c>
      <c r="G94" s="25">
        <v>0.15</v>
      </c>
      <c r="H94" s="26">
        <v>45552</v>
      </c>
      <c r="I94" s="25">
        <v>334.84</v>
      </c>
      <c r="J94" s="27">
        <f t="shared" ca="1" si="5"/>
        <v>46324.918643055556</v>
      </c>
      <c r="K94" s="28">
        <f t="shared" si="6"/>
        <v>18.600000000000001</v>
      </c>
      <c r="L94" s="29">
        <f t="shared" si="7"/>
        <v>-5893.1840000000002</v>
      </c>
      <c r="M94" s="30">
        <f t="shared" si="8"/>
        <v>93</v>
      </c>
      <c r="N94" s="30" t="str">
        <f t="shared" si="9"/>
        <v>James Davis</v>
      </c>
    </row>
    <row r="95" spans="1:14" ht="15.75" customHeight="1" x14ac:dyDescent="0.3">
      <c r="A95" s="25" t="s">
        <v>69</v>
      </c>
      <c r="B95" s="25" t="s">
        <v>25</v>
      </c>
      <c r="C95" s="25" t="s">
        <v>12</v>
      </c>
      <c r="D95" s="25" t="s">
        <v>23</v>
      </c>
      <c r="E95" s="25">
        <v>1158.94</v>
      </c>
      <c r="F95" s="25">
        <v>19</v>
      </c>
      <c r="G95" s="25">
        <v>0.2</v>
      </c>
      <c r="H95" s="26">
        <v>45553</v>
      </c>
      <c r="I95" s="25">
        <v>231.79</v>
      </c>
      <c r="J95" s="27">
        <f t="shared" ca="1" si="5"/>
        <v>46324.918643055556</v>
      </c>
      <c r="K95" s="28">
        <f t="shared" si="6"/>
        <v>18.8</v>
      </c>
      <c r="L95" s="29">
        <f t="shared" si="7"/>
        <v>-4125.8620000000001</v>
      </c>
      <c r="M95" s="30">
        <f t="shared" si="8"/>
        <v>94</v>
      </c>
      <c r="N95" s="30" t="str">
        <f t="shared" si="9"/>
        <v>Mary Davis</v>
      </c>
    </row>
    <row r="96" spans="1:14" ht="15.75" customHeight="1" x14ac:dyDescent="0.3">
      <c r="A96" s="25" t="s">
        <v>77</v>
      </c>
      <c r="B96" s="25" t="s">
        <v>49</v>
      </c>
      <c r="C96" s="25" t="s">
        <v>22</v>
      </c>
      <c r="D96" s="25" t="s">
        <v>13</v>
      </c>
      <c r="E96" s="25">
        <v>966.3</v>
      </c>
      <c r="F96" s="25">
        <v>2</v>
      </c>
      <c r="G96" s="25">
        <v>0.15</v>
      </c>
      <c r="H96" s="26">
        <v>45557</v>
      </c>
      <c r="I96" s="25">
        <v>328.54</v>
      </c>
      <c r="J96" s="27">
        <f t="shared" ca="1" si="5"/>
        <v>46324.918643055556</v>
      </c>
      <c r="K96" s="28">
        <f t="shared" si="6"/>
        <v>19</v>
      </c>
      <c r="L96" s="29">
        <f t="shared" si="7"/>
        <v>-5913.72</v>
      </c>
      <c r="M96" s="30">
        <f t="shared" si="8"/>
        <v>95</v>
      </c>
      <c r="N96" s="30" t="str">
        <f t="shared" si="9"/>
        <v>David Thomas</v>
      </c>
    </row>
    <row r="97" spans="1:14" ht="15.75" customHeight="1" x14ac:dyDescent="0.3">
      <c r="A97" s="25" t="s">
        <v>70</v>
      </c>
      <c r="B97" s="25" t="s">
        <v>19</v>
      </c>
      <c r="C97" s="25" t="s">
        <v>22</v>
      </c>
      <c r="D97" s="25" t="s">
        <v>13</v>
      </c>
      <c r="E97" s="25">
        <v>917.48</v>
      </c>
      <c r="F97" s="25">
        <v>6</v>
      </c>
      <c r="G97" s="25">
        <v>0</v>
      </c>
      <c r="H97" s="26">
        <v>45558</v>
      </c>
      <c r="I97" s="25">
        <v>366.99</v>
      </c>
      <c r="J97" s="27">
        <f t="shared" ca="1" si="5"/>
        <v>46324.918643055556</v>
      </c>
      <c r="K97" s="28">
        <f t="shared" si="6"/>
        <v>19.200000000000003</v>
      </c>
      <c r="L97" s="29">
        <f t="shared" si="7"/>
        <v>-6679.2180000000008</v>
      </c>
      <c r="M97" s="30">
        <f t="shared" si="8"/>
        <v>96</v>
      </c>
      <c r="N97" s="30" t="str">
        <f t="shared" si="9"/>
        <v>Michael Anderson</v>
      </c>
    </row>
    <row r="98" spans="1:14" ht="15.75" customHeight="1" x14ac:dyDescent="0.3">
      <c r="A98" s="25" t="s">
        <v>43</v>
      </c>
      <c r="B98" s="25" t="s">
        <v>63</v>
      </c>
      <c r="C98" s="25" t="s">
        <v>12</v>
      </c>
      <c r="D98" s="25" t="s">
        <v>29</v>
      </c>
      <c r="E98" s="25">
        <v>1172.97</v>
      </c>
      <c r="F98" s="25">
        <v>7</v>
      </c>
      <c r="G98" s="25">
        <v>0.15</v>
      </c>
      <c r="H98" s="26">
        <v>45559</v>
      </c>
      <c r="I98" s="25">
        <v>348.96</v>
      </c>
      <c r="J98" s="27">
        <f t="shared" ca="1" si="5"/>
        <v>46324.918643055556</v>
      </c>
      <c r="K98" s="28">
        <f t="shared" si="6"/>
        <v>19.400000000000002</v>
      </c>
      <c r="L98" s="29">
        <f t="shared" si="7"/>
        <v>-6420.8640000000005</v>
      </c>
      <c r="M98" s="30">
        <f t="shared" si="8"/>
        <v>97</v>
      </c>
      <c r="N98" s="30" t="str">
        <f t="shared" si="9"/>
        <v>David Brown</v>
      </c>
    </row>
    <row r="99" spans="1:14" ht="15.75" customHeight="1" x14ac:dyDescent="0.3">
      <c r="A99" s="25" t="s">
        <v>59</v>
      </c>
      <c r="B99" s="25" t="s">
        <v>25</v>
      </c>
      <c r="C99" s="25" t="s">
        <v>26</v>
      </c>
      <c r="D99" s="25" t="s">
        <v>17</v>
      </c>
      <c r="E99" s="25">
        <v>1205.82</v>
      </c>
      <c r="F99" s="25">
        <v>11</v>
      </c>
      <c r="G99" s="25">
        <v>0.1</v>
      </c>
      <c r="H99" s="26">
        <v>45559</v>
      </c>
      <c r="I99" s="25">
        <v>542.62</v>
      </c>
      <c r="J99" s="27">
        <f t="shared" ca="1" si="5"/>
        <v>46324.918643055556</v>
      </c>
      <c r="K99" s="28">
        <f t="shared" si="6"/>
        <v>19.600000000000001</v>
      </c>
      <c r="L99" s="29">
        <f t="shared" si="7"/>
        <v>-10092.732</v>
      </c>
      <c r="M99" s="30">
        <f t="shared" si="8"/>
        <v>98</v>
      </c>
      <c r="N99" s="30" t="str">
        <f t="shared" si="9"/>
        <v>Linda Taylor</v>
      </c>
    </row>
    <row r="100" spans="1:14" ht="15.75" customHeight="1" x14ac:dyDescent="0.3">
      <c r="A100" s="25" t="s">
        <v>18</v>
      </c>
      <c r="B100" s="25" t="s">
        <v>66</v>
      </c>
      <c r="C100" s="25" t="s">
        <v>12</v>
      </c>
      <c r="D100" s="25" t="s">
        <v>41</v>
      </c>
      <c r="E100" s="25">
        <v>826.93</v>
      </c>
      <c r="F100" s="25">
        <v>10</v>
      </c>
      <c r="G100" s="25">
        <v>0.2</v>
      </c>
      <c r="H100" s="26">
        <v>45564</v>
      </c>
      <c r="I100" s="25">
        <v>297.69</v>
      </c>
      <c r="J100" s="27">
        <f t="shared" ca="1" si="5"/>
        <v>46324.918643055556</v>
      </c>
      <c r="K100" s="28">
        <f t="shared" si="6"/>
        <v>19.8</v>
      </c>
      <c r="L100" s="29">
        <f t="shared" si="7"/>
        <v>-5596.5720000000001</v>
      </c>
      <c r="M100" s="30">
        <f t="shared" si="8"/>
        <v>99</v>
      </c>
      <c r="N100" s="30" t="str">
        <f t="shared" si="9"/>
        <v>Linda Moore</v>
      </c>
    </row>
    <row r="101" spans="1:14" ht="15.75" customHeight="1" x14ac:dyDescent="0.3">
      <c r="A101" s="25" t="s">
        <v>69</v>
      </c>
      <c r="B101" s="25" t="s">
        <v>25</v>
      </c>
      <c r="C101" s="25" t="s">
        <v>36</v>
      </c>
      <c r="D101" s="25" t="s">
        <v>17</v>
      </c>
      <c r="E101" s="25">
        <v>902.19</v>
      </c>
      <c r="F101" s="25">
        <v>12</v>
      </c>
      <c r="G101" s="25">
        <v>0</v>
      </c>
      <c r="H101" s="26">
        <v>45564</v>
      </c>
      <c r="I101" s="25">
        <v>451.1</v>
      </c>
      <c r="J101" s="27">
        <f t="shared" ca="1" si="5"/>
        <v>46324.918643055556</v>
      </c>
      <c r="K101" s="28">
        <f t="shared" si="6"/>
        <v>20</v>
      </c>
      <c r="L101" s="29">
        <f t="shared" si="7"/>
        <v>-8570.9</v>
      </c>
      <c r="M101" s="30">
        <f t="shared" si="8"/>
        <v>100</v>
      </c>
      <c r="N101" s="30" t="str">
        <f t="shared" si="9"/>
        <v>Emma Taylor</v>
      </c>
    </row>
    <row r="102" spans="1:14" ht="15.75" customHeight="1" x14ac:dyDescent="0.3">
      <c r="A102" s="25" t="s">
        <v>76</v>
      </c>
      <c r="B102" s="25" t="s">
        <v>40</v>
      </c>
      <c r="C102" s="25" t="s">
        <v>26</v>
      </c>
      <c r="D102" s="25" t="s">
        <v>13</v>
      </c>
      <c r="E102" s="25">
        <v>585.97</v>
      </c>
      <c r="F102" s="25">
        <v>17</v>
      </c>
      <c r="G102" s="25">
        <v>0.1</v>
      </c>
      <c r="H102" s="26">
        <v>45565</v>
      </c>
      <c r="I102" s="25">
        <v>210.95</v>
      </c>
      <c r="J102" s="27">
        <f t="shared" ca="1" si="5"/>
        <v>46324.918643055556</v>
      </c>
      <c r="K102" s="28">
        <f t="shared" si="6"/>
        <v>20.200000000000003</v>
      </c>
      <c r="L102" s="29">
        <f t="shared" si="7"/>
        <v>-4050.2400000000002</v>
      </c>
      <c r="M102" s="30">
        <f t="shared" si="8"/>
        <v>101</v>
      </c>
      <c r="N102" s="30" t="str">
        <f t="shared" si="9"/>
        <v>Emma Taylor</v>
      </c>
    </row>
    <row r="103" spans="1:14" ht="15.75" customHeight="1" x14ac:dyDescent="0.3">
      <c r="A103" s="25" t="s">
        <v>62</v>
      </c>
      <c r="B103" s="25" t="s">
        <v>28</v>
      </c>
      <c r="C103" s="25" t="s">
        <v>26</v>
      </c>
      <c r="D103" s="25" t="s">
        <v>17</v>
      </c>
      <c r="E103" s="25">
        <v>990.19</v>
      </c>
      <c r="F103" s="25">
        <v>8</v>
      </c>
      <c r="G103" s="25">
        <v>0.1</v>
      </c>
      <c r="H103" s="26">
        <v>45565</v>
      </c>
      <c r="I103" s="25">
        <v>445.59</v>
      </c>
      <c r="J103" s="27">
        <f t="shared" ca="1" si="5"/>
        <v>46324.918643055556</v>
      </c>
      <c r="K103" s="28">
        <f t="shared" si="6"/>
        <v>20.400000000000002</v>
      </c>
      <c r="L103" s="29">
        <f t="shared" si="7"/>
        <v>-8644.4459999999999</v>
      </c>
      <c r="M103" s="30">
        <f t="shared" si="8"/>
        <v>102</v>
      </c>
      <c r="N103" s="30" t="str">
        <f t="shared" si="9"/>
        <v>Sarah Anderson</v>
      </c>
    </row>
    <row r="104" spans="1:14" ht="15.75" customHeight="1" x14ac:dyDescent="0.3">
      <c r="A104" s="25" t="s">
        <v>46</v>
      </c>
      <c r="B104" s="25" t="s">
        <v>58</v>
      </c>
      <c r="C104" s="25" t="s">
        <v>36</v>
      </c>
      <c r="D104" s="25" t="s">
        <v>23</v>
      </c>
      <c r="E104" s="25">
        <v>1014.09</v>
      </c>
      <c r="F104" s="25">
        <v>13</v>
      </c>
      <c r="G104" s="25">
        <v>0.2</v>
      </c>
      <c r="H104" s="26">
        <v>45567</v>
      </c>
      <c r="I104" s="25">
        <v>202.82</v>
      </c>
      <c r="J104" s="27">
        <f t="shared" ca="1" si="5"/>
        <v>46324.918643055556</v>
      </c>
      <c r="K104" s="28">
        <f t="shared" si="6"/>
        <v>20.6</v>
      </c>
      <c r="L104" s="29">
        <f t="shared" si="7"/>
        <v>-3975.2719999999999</v>
      </c>
      <c r="M104" s="30">
        <f t="shared" si="8"/>
        <v>103</v>
      </c>
      <c r="N104" s="30" t="str">
        <f t="shared" si="9"/>
        <v>Mary Jackson</v>
      </c>
    </row>
    <row r="105" spans="1:14" ht="15.75" customHeight="1" x14ac:dyDescent="0.3">
      <c r="A105" s="25" t="s">
        <v>15</v>
      </c>
      <c r="B105" s="25" t="s">
        <v>50</v>
      </c>
      <c r="C105" s="25" t="s">
        <v>26</v>
      </c>
      <c r="D105" s="25" t="s">
        <v>23</v>
      </c>
      <c r="E105" s="25">
        <v>925.29</v>
      </c>
      <c r="F105" s="25">
        <v>17</v>
      </c>
      <c r="G105" s="25">
        <v>0</v>
      </c>
      <c r="H105" s="26">
        <v>45570</v>
      </c>
      <c r="I105" s="25">
        <v>231.32</v>
      </c>
      <c r="J105" s="27">
        <f t="shared" ca="1" si="5"/>
        <v>46324.918643055556</v>
      </c>
      <c r="K105" s="28">
        <f t="shared" si="6"/>
        <v>20.8</v>
      </c>
      <c r="L105" s="29">
        <f t="shared" si="7"/>
        <v>-4580.1360000000004</v>
      </c>
      <c r="M105" s="30">
        <f t="shared" si="8"/>
        <v>104</v>
      </c>
      <c r="N105" s="30" t="str">
        <f t="shared" si="9"/>
        <v>Michael Anderson</v>
      </c>
    </row>
    <row r="106" spans="1:14" ht="15.75" customHeight="1" x14ac:dyDescent="0.3">
      <c r="A106" s="25" t="s">
        <v>56</v>
      </c>
      <c r="B106" s="25" t="s">
        <v>49</v>
      </c>
      <c r="C106" s="25" t="s">
        <v>20</v>
      </c>
      <c r="D106" s="25" t="s">
        <v>29</v>
      </c>
      <c r="E106" s="25">
        <v>1286.54</v>
      </c>
      <c r="F106" s="25">
        <v>8</v>
      </c>
      <c r="G106" s="25">
        <v>0</v>
      </c>
      <c r="H106" s="26">
        <v>45575</v>
      </c>
      <c r="I106" s="25">
        <v>450.29</v>
      </c>
      <c r="J106" s="27">
        <f t="shared" ca="1" si="5"/>
        <v>46324.918643055556</v>
      </c>
      <c r="K106" s="28">
        <f t="shared" si="6"/>
        <v>21</v>
      </c>
      <c r="L106" s="29">
        <f t="shared" si="7"/>
        <v>-9005.8000000000011</v>
      </c>
      <c r="M106" s="30">
        <f t="shared" si="8"/>
        <v>105</v>
      </c>
      <c r="N106" s="30" t="str">
        <f t="shared" si="9"/>
        <v>Sarah Davis</v>
      </c>
    </row>
    <row r="107" spans="1:14" ht="15.75" customHeight="1" x14ac:dyDescent="0.3">
      <c r="A107" s="25" t="s">
        <v>39</v>
      </c>
      <c r="B107" s="25" t="s">
        <v>66</v>
      </c>
      <c r="C107" s="25" t="s">
        <v>22</v>
      </c>
      <c r="D107" s="25" t="s">
        <v>13</v>
      </c>
      <c r="E107" s="25">
        <v>961.62</v>
      </c>
      <c r="F107" s="25">
        <v>8</v>
      </c>
      <c r="G107" s="25">
        <v>0.2</v>
      </c>
      <c r="H107" s="26">
        <v>45577</v>
      </c>
      <c r="I107" s="25">
        <v>307.72000000000003</v>
      </c>
      <c r="J107" s="27">
        <f t="shared" ca="1" si="5"/>
        <v>46324.918643055556</v>
      </c>
      <c r="K107" s="28">
        <f t="shared" si="6"/>
        <v>21.200000000000003</v>
      </c>
      <c r="L107" s="29">
        <f t="shared" si="7"/>
        <v>-6215.9440000000013</v>
      </c>
      <c r="M107" s="30">
        <f t="shared" si="8"/>
        <v>106</v>
      </c>
      <c r="N107" s="30" t="str">
        <f t="shared" si="9"/>
        <v>Mary Wilson</v>
      </c>
    </row>
    <row r="108" spans="1:14" ht="15.75" customHeight="1" x14ac:dyDescent="0.3">
      <c r="A108" s="25" t="s">
        <v>46</v>
      </c>
      <c r="B108" s="25" t="s">
        <v>25</v>
      </c>
      <c r="C108" s="25" t="s">
        <v>20</v>
      </c>
      <c r="D108" s="25" t="s">
        <v>13</v>
      </c>
      <c r="E108" s="25">
        <v>1081.1400000000001</v>
      </c>
      <c r="F108" s="25">
        <v>19</v>
      </c>
      <c r="G108" s="25">
        <v>0.15</v>
      </c>
      <c r="H108" s="26">
        <v>45577</v>
      </c>
      <c r="I108" s="25">
        <v>367.59</v>
      </c>
      <c r="J108" s="27">
        <f t="shared" ca="1" si="5"/>
        <v>46324.918643055556</v>
      </c>
      <c r="K108" s="28">
        <f t="shared" si="6"/>
        <v>21.400000000000002</v>
      </c>
      <c r="L108" s="29">
        <f t="shared" si="7"/>
        <v>-7498.8360000000002</v>
      </c>
      <c r="M108" s="30">
        <f t="shared" si="8"/>
        <v>107</v>
      </c>
      <c r="N108" s="30" t="str">
        <f t="shared" si="9"/>
        <v>Lisa Davis</v>
      </c>
    </row>
    <row r="109" spans="1:14" ht="15.75" customHeight="1" x14ac:dyDescent="0.3">
      <c r="A109" s="25" t="s">
        <v>60</v>
      </c>
      <c r="B109" s="25" t="s">
        <v>25</v>
      </c>
      <c r="C109" s="25" t="s">
        <v>12</v>
      </c>
      <c r="D109" s="25" t="s">
        <v>17</v>
      </c>
      <c r="E109" s="25">
        <v>1923.66</v>
      </c>
      <c r="F109" s="25">
        <v>9</v>
      </c>
      <c r="G109" s="25">
        <v>0.2</v>
      </c>
      <c r="H109" s="26">
        <v>45580</v>
      </c>
      <c r="I109" s="25">
        <v>769.46</v>
      </c>
      <c r="J109" s="27">
        <f t="shared" ca="1" si="5"/>
        <v>46324.918643055556</v>
      </c>
      <c r="K109" s="28">
        <f t="shared" si="6"/>
        <v>21.6</v>
      </c>
      <c r="L109" s="29">
        <f t="shared" si="7"/>
        <v>-15850.876000000002</v>
      </c>
      <c r="M109" s="30">
        <f t="shared" si="8"/>
        <v>108</v>
      </c>
      <c r="N109" s="30" t="str">
        <f t="shared" si="9"/>
        <v>Lisa Davis</v>
      </c>
    </row>
    <row r="110" spans="1:14" ht="15.75" customHeight="1" x14ac:dyDescent="0.3">
      <c r="A110" s="25" t="s">
        <v>56</v>
      </c>
      <c r="B110" s="25" t="s">
        <v>68</v>
      </c>
      <c r="C110" s="25" t="s">
        <v>36</v>
      </c>
      <c r="D110" s="25" t="s">
        <v>17</v>
      </c>
      <c r="E110" s="25">
        <v>728.71</v>
      </c>
      <c r="F110" s="25">
        <v>14</v>
      </c>
      <c r="G110" s="25">
        <v>0.1</v>
      </c>
      <c r="H110" s="26">
        <v>45581</v>
      </c>
      <c r="I110" s="25">
        <v>327.92</v>
      </c>
      <c r="J110" s="27">
        <f t="shared" ca="1" si="5"/>
        <v>46324.918643055556</v>
      </c>
      <c r="K110" s="28">
        <f t="shared" si="6"/>
        <v>21.8</v>
      </c>
      <c r="L110" s="29">
        <f t="shared" si="7"/>
        <v>-6820.7360000000008</v>
      </c>
      <c r="M110" s="30">
        <f t="shared" si="8"/>
        <v>109</v>
      </c>
      <c r="N110" s="30" t="str">
        <f t="shared" si="9"/>
        <v>Robert Anderson</v>
      </c>
    </row>
    <row r="111" spans="1:14" ht="15.75" customHeight="1" x14ac:dyDescent="0.3">
      <c r="A111" s="25" t="s">
        <v>10</v>
      </c>
      <c r="B111" s="25" t="s">
        <v>35</v>
      </c>
      <c r="C111" s="25" t="s">
        <v>36</v>
      </c>
      <c r="D111" s="25" t="s">
        <v>17</v>
      </c>
      <c r="E111" s="25">
        <v>1301.8900000000001</v>
      </c>
      <c r="F111" s="25">
        <v>7</v>
      </c>
      <c r="G111" s="25">
        <v>0.15</v>
      </c>
      <c r="H111" s="26">
        <v>45581</v>
      </c>
      <c r="I111" s="25">
        <v>553.29999999999995</v>
      </c>
      <c r="J111" s="27">
        <f t="shared" ca="1" si="5"/>
        <v>46324.918643055556</v>
      </c>
      <c r="K111" s="28">
        <f t="shared" si="6"/>
        <v>22</v>
      </c>
      <c r="L111" s="29">
        <f t="shared" si="7"/>
        <v>-11619.3</v>
      </c>
      <c r="M111" s="30">
        <f t="shared" si="8"/>
        <v>110</v>
      </c>
      <c r="N111" s="30" t="str">
        <f t="shared" si="9"/>
        <v>Sarah Anderson</v>
      </c>
    </row>
    <row r="112" spans="1:14" ht="15.75" customHeight="1" x14ac:dyDescent="0.3">
      <c r="A112" s="25" t="s">
        <v>72</v>
      </c>
      <c r="B112" s="25" t="s">
        <v>68</v>
      </c>
      <c r="C112" s="25" t="s">
        <v>20</v>
      </c>
      <c r="D112" s="25" t="s">
        <v>13</v>
      </c>
      <c r="E112" s="25">
        <v>980.18</v>
      </c>
      <c r="F112" s="25">
        <v>16</v>
      </c>
      <c r="G112" s="25">
        <v>0.1</v>
      </c>
      <c r="H112" s="26">
        <v>45582</v>
      </c>
      <c r="I112" s="25">
        <v>352.86</v>
      </c>
      <c r="J112" s="27">
        <f t="shared" ca="1" si="5"/>
        <v>46324.918643055556</v>
      </c>
      <c r="K112" s="28">
        <f t="shared" si="6"/>
        <v>22.200000000000003</v>
      </c>
      <c r="L112" s="29">
        <f t="shared" si="7"/>
        <v>-7480.6320000000014</v>
      </c>
      <c r="M112" s="30">
        <f t="shared" si="8"/>
        <v>111</v>
      </c>
      <c r="N112" s="30" t="str">
        <f t="shared" si="9"/>
        <v>Mary Davis</v>
      </c>
    </row>
    <row r="113" spans="1:14" ht="15.75" customHeight="1" x14ac:dyDescent="0.3">
      <c r="A113" s="25" t="s">
        <v>76</v>
      </c>
      <c r="B113" s="25" t="s">
        <v>25</v>
      </c>
      <c r="C113" s="25" t="s">
        <v>12</v>
      </c>
      <c r="D113" s="25" t="s">
        <v>17</v>
      </c>
      <c r="E113" s="25">
        <v>697.57</v>
      </c>
      <c r="F113" s="25">
        <v>17</v>
      </c>
      <c r="G113" s="25">
        <v>0.1</v>
      </c>
      <c r="H113" s="26">
        <v>45584</v>
      </c>
      <c r="I113" s="25">
        <v>313.91000000000003</v>
      </c>
      <c r="J113" s="27">
        <f t="shared" ca="1" si="5"/>
        <v>46324.918643055556</v>
      </c>
      <c r="K113" s="28">
        <f t="shared" si="6"/>
        <v>22.400000000000002</v>
      </c>
      <c r="L113" s="29">
        <f t="shared" si="7"/>
        <v>-6717.6740000000009</v>
      </c>
      <c r="M113" s="30">
        <f t="shared" si="8"/>
        <v>112</v>
      </c>
      <c r="N113" s="30" t="str">
        <f t="shared" si="9"/>
        <v>David Thomas</v>
      </c>
    </row>
    <row r="114" spans="1:14" ht="15.75" customHeight="1" x14ac:dyDescent="0.3">
      <c r="A114" s="25" t="s">
        <v>48</v>
      </c>
      <c r="B114" s="25" t="s">
        <v>73</v>
      </c>
      <c r="C114" s="25" t="s">
        <v>12</v>
      </c>
      <c r="D114" s="25" t="s">
        <v>29</v>
      </c>
      <c r="E114" s="25">
        <v>1193.6099999999999</v>
      </c>
      <c r="F114" s="25">
        <v>1</v>
      </c>
      <c r="G114" s="25">
        <v>0.15</v>
      </c>
      <c r="H114" s="26">
        <v>45584</v>
      </c>
      <c r="I114" s="25">
        <v>355.1</v>
      </c>
      <c r="J114" s="27">
        <f t="shared" ca="1" si="5"/>
        <v>46324.918643055556</v>
      </c>
      <c r="K114" s="28">
        <f t="shared" si="6"/>
        <v>22.6</v>
      </c>
      <c r="L114" s="29">
        <f t="shared" si="7"/>
        <v>-7670.1600000000008</v>
      </c>
      <c r="M114" s="30">
        <f t="shared" si="8"/>
        <v>113</v>
      </c>
      <c r="N114" s="30" t="str">
        <f t="shared" si="9"/>
        <v>Mary Davis</v>
      </c>
    </row>
    <row r="115" spans="1:14" ht="15.75" customHeight="1" x14ac:dyDescent="0.3">
      <c r="A115" s="25" t="s">
        <v>34</v>
      </c>
      <c r="B115" s="25" t="s">
        <v>40</v>
      </c>
      <c r="C115" s="25" t="s">
        <v>22</v>
      </c>
      <c r="D115" s="25" t="s">
        <v>23</v>
      </c>
      <c r="E115" s="25">
        <v>771.02</v>
      </c>
      <c r="F115" s="25">
        <v>1</v>
      </c>
      <c r="G115" s="25">
        <v>0</v>
      </c>
      <c r="H115" s="26">
        <v>45585</v>
      </c>
      <c r="I115" s="25">
        <v>192.76</v>
      </c>
      <c r="J115" s="27">
        <f t="shared" ca="1" si="5"/>
        <v>46324.918643055556</v>
      </c>
      <c r="K115" s="28">
        <f t="shared" si="6"/>
        <v>22.8</v>
      </c>
      <c r="L115" s="29">
        <f t="shared" si="7"/>
        <v>-4202.1679999999997</v>
      </c>
      <c r="M115" s="30">
        <f t="shared" si="8"/>
        <v>114</v>
      </c>
      <c r="N115" s="30" t="str">
        <f t="shared" si="9"/>
        <v>Lisa Davis</v>
      </c>
    </row>
    <row r="116" spans="1:14" ht="15.75" customHeight="1" x14ac:dyDescent="0.3">
      <c r="A116" s="25" t="s">
        <v>69</v>
      </c>
      <c r="B116" s="25" t="s">
        <v>71</v>
      </c>
      <c r="C116" s="25" t="s">
        <v>26</v>
      </c>
      <c r="D116" s="25" t="s">
        <v>17</v>
      </c>
      <c r="E116" s="25">
        <v>661.09</v>
      </c>
      <c r="F116" s="25">
        <v>1</v>
      </c>
      <c r="G116" s="25">
        <v>0.2</v>
      </c>
      <c r="H116" s="26">
        <v>45593</v>
      </c>
      <c r="I116" s="25">
        <v>264.44</v>
      </c>
      <c r="J116" s="27">
        <f t="shared" ca="1" si="5"/>
        <v>46324.918643055556</v>
      </c>
      <c r="K116" s="28">
        <f t="shared" si="6"/>
        <v>23</v>
      </c>
      <c r="L116" s="29">
        <f t="shared" si="7"/>
        <v>-5817.68</v>
      </c>
      <c r="M116" s="30">
        <f t="shared" si="8"/>
        <v>115</v>
      </c>
      <c r="N116" s="30" t="str">
        <f t="shared" si="9"/>
        <v>Lisa Thomas</v>
      </c>
    </row>
    <row r="117" spans="1:14" ht="15.75" customHeight="1" x14ac:dyDescent="0.3">
      <c r="A117" s="25" t="s">
        <v>15</v>
      </c>
      <c r="B117" s="25" t="s">
        <v>57</v>
      </c>
      <c r="C117" s="25" t="s">
        <v>12</v>
      </c>
      <c r="D117" s="25" t="s">
        <v>23</v>
      </c>
      <c r="E117" s="25">
        <v>688.83</v>
      </c>
      <c r="F117" s="25">
        <v>15</v>
      </c>
      <c r="G117" s="25">
        <v>0</v>
      </c>
      <c r="H117" s="26">
        <v>45595</v>
      </c>
      <c r="I117" s="25">
        <v>172.21</v>
      </c>
      <c r="J117" s="27">
        <f t="shared" ca="1" si="5"/>
        <v>46324.918643055556</v>
      </c>
      <c r="K117" s="28">
        <f t="shared" si="6"/>
        <v>23.200000000000003</v>
      </c>
      <c r="L117" s="29">
        <f t="shared" si="7"/>
        <v>-3823.0620000000008</v>
      </c>
      <c r="M117" s="30">
        <f t="shared" si="8"/>
        <v>116</v>
      </c>
      <c r="N117" s="30" t="str">
        <f t="shared" si="9"/>
        <v>Robert Anderson</v>
      </c>
    </row>
    <row r="118" spans="1:14" ht="15.75" customHeight="1" x14ac:dyDescent="0.3">
      <c r="A118" s="25" t="s">
        <v>75</v>
      </c>
      <c r="B118" s="25" t="s">
        <v>31</v>
      </c>
      <c r="C118" s="25" t="s">
        <v>36</v>
      </c>
      <c r="D118" s="25" t="s">
        <v>13</v>
      </c>
      <c r="E118" s="25">
        <v>1249.0999999999999</v>
      </c>
      <c r="F118" s="25">
        <v>4</v>
      </c>
      <c r="G118" s="25">
        <v>0.05</v>
      </c>
      <c r="H118" s="26">
        <v>45597</v>
      </c>
      <c r="I118" s="25">
        <v>474.66</v>
      </c>
      <c r="J118" s="27">
        <f t="shared" ca="1" si="5"/>
        <v>46324.918643055556</v>
      </c>
      <c r="K118" s="28">
        <f t="shared" si="6"/>
        <v>23.400000000000002</v>
      </c>
      <c r="L118" s="29">
        <f t="shared" si="7"/>
        <v>-10632.384000000002</v>
      </c>
      <c r="M118" s="30">
        <f t="shared" si="8"/>
        <v>117</v>
      </c>
      <c r="N118" s="30" t="str">
        <f t="shared" si="9"/>
        <v>James Taylor</v>
      </c>
    </row>
    <row r="119" spans="1:14" ht="15.75" customHeight="1" x14ac:dyDescent="0.3">
      <c r="A119" s="25" t="s">
        <v>46</v>
      </c>
      <c r="B119" s="25" t="s">
        <v>25</v>
      </c>
      <c r="C119" s="25" t="s">
        <v>20</v>
      </c>
      <c r="D119" s="25" t="s">
        <v>41</v>
      </c>
      <c r="E119" s="25">
        <v>1014.22</v>
      </c>
      <c r="F119" s="25">
        <v>14</v>
      </c>
      <c r="G119" s="25">
        <v>0.05</v>
      </c>
      <c r="H119" s="26">
        <v>45599</v>
      </c>
      <c r="I119" s="25">
        <v>433.58</v>
      </c>
      <c r="J119" s="27">
        <f t="shared" ca="1" si="5"/>
        <v>46324.918643055556</v>
      </c>
      <c r="K119" s="28">
        <f t="shared" si="6"/>
        <v>23.6</v>
      </c>
      <c r="L119" s="29">
        <f t="shared" si="7"/>
        <v>-9798.9079999999994</v>
      </c>
      <c r="M119" s="30">
        <f t="shared" si="8"/>
        <v>118</v>
      </c>
      <c r="N119" s="30" t="str">
        <f t="shared" si="9"/>
        <v>James Wilson</v>
      </c>
    </row>
    <row r="120" spans="1:14" ht="15.75" customHeight="1" x14ac:dyDescent="0.3">
      <c r="A120" s="25" t="s">
        <v>56</v>
      </c>
      <c r="B120" s="25" t="s">
        <v>50</v>
      </c>
      <c r="C120" s="25" t="s">
        <v>20</v>
      </c>
      <c r="D120" s="25" t="s">
        <v>13</v>
      </c>
      <c r="E120" s="25">
        <v>1010.58</v>
      </c>
      <c r="F120" s="25">
        <v>2</v>
      </c>
      <c r="G120" s="25">
        <v>0.15</v>
      </c>
      <c r="H120" s="26">
        <v>45605</v>
      </c>
      <c r="I120" s="25">
        <v>343.6</v>
      </c>
      <c r="J120" s="27">
        <f t="shared" ca="1" si="5"/>
        <v>46324.918643055556</v>
      </c>
      <c r="K120" s="28">
        <f t="shared" si="6"/>
        <v>23.8</v>
      </c>
      <c r="L120" s="29">
        <f t="shared" si="7"/>
        <v>-7834.0800000000008</v>
      </c>
      <c r="M120" s="30">
        <f t="shared" si="8"/>
        <v>119</v>
      </c>
      <c r="N120" s="30" t="str">
        <f t="shared" si="9"/>
        <v>Sarah Anderson</v>
      </c>
    </row>
    <row r="121" spans="1:14" ht="15.75" customHeight="1" x14ac:dyDescent="0.3">
      <c r="A121" s="25" t="s">
        <v>32</v>
      </c>
      <c r="B121" s="25" t="s">
        <v>61</v>
      </c>
      <c r="C121" s="25" t="s">
        <v>26</v>
      </c>
      <c r="D121" s="25" t="s">
        <v>29</v>
      </c>
      <c r="E121" s="25">
        <v>957.29</v>
      </c>
      <c r="F121" s="25">
        <v>4</v>
      </c>
      <c r="G121" s="25">
        <v>0.05</v>
      </c>
      <c r="H121" s="26">
        <v>45605</v>
      </c>
      <c r="I121" s="25">
        <v>318.3</v>
      </c>
      <c r="J121" s="27">
        <f t="shared" ca="1" si="5"/>
        <v>46324.918643055556</v>
      </c>
      <c r="K121" s="28">
        <f t="shared" si="6"/>
        <v>24</v>
      </c>
      <c r="L121" s="29">
        <f t="shared" si="7"/>
        <v>-7320.9000000000005</v>
      </c>
      <c r="M121" s="30">
        <f t="shared" si="8"/>
        <v>120</v>
      </c>
      <c r="N121" s="30" t="str">
        <f t="shared" si="9"/>
        <v>Linda Wilson</v>
      </c>
    </row>
    <row r="122" spans="1:14" ht="15.75" customHeight="1" x14ac:dyDescent="0.3">
      <c r="A122" s="25" t="s">
        <v>30</v>
      </c>
      <c r="B122" s="25" t="s">
        <v>47</v>
      </c>
      <c r="C122" s="25" t="s">
        <v>26</v>
      </c>
      <c r="D122" s="25" t="s">
        <v>29</v>
      </c>
      <c r="E122" s="25">
        <v>1077.92</v>
      </c>
      <c r="F122" s="25">
        <v>3</v>
      </c>
      <c r="G122" s="25">
        <v>0.05</v>
      </c>
      <c r="H122" s="26">
        <v>45608</v>
      </c>
      <c r="I122" s="25">
        <v>358.41</v>
      </c>
      <c r="J122" s="27">
        <f t="shared" ca="1" si="5"/>
        <v>46324.918643055556</v>
      </c>
      <c r="K122" s="28">
        <f t="shared" si="6"/>
        <v>24.200000000000003</v>
      </c>
      <c r="L122" s="29">
        <f t="shared" si="7"/>
        <v>-8315.112000000001</v>
      </c>
      <c r="M122" s="30">
        <f t="shared" si="8"/>
        <v>121</v>
      </c>
      <c r="N122" s="30" t="str">
        <f t="shared" si="9"/>
        <v>Robert Anderson</v>
      </c>
    </row>
    <row r="123" spans="1:14" ht="15.75" customHeight="1" x14ac:dyDescent="0.3">
      <c r="A123" s="25" t="s">
        <v>54</v>
      </c>
      <c r="B123" s="25" t="s">
        <v>52</v>
      </c>
      <c r="C123" s="25" t="s">
        <v>22</v>
      </c>
      <c r="D123" s="25" t="s">
        <v>17</v>
      </c>
      <c r="E123" s="25">
        <v>1163.01</v>
      </c>
      <c r="F123" s="25">
        <v>5</v>
      </c>
      <c r="G123" s="25">
        <v>0</v>
      </c>
      <c r="H123" s="26">
        <v>45611</v>
      </c>
      <c r="I123" s="25">
        <v>581.5</v>
      </c>
      <c r="J123" s="27">
        <f t="shared" ca="1" si="5"/>
        <v>46324.918643055556</v>
      </c>
      <c r="K123" s="28">
        <f t="shared" si="6"/>
        <v>24.400000000000002</v>
      </c>
      <c r="L123" s="29">
        <f t="shared" si="7"/>
        <v>-13607.1</v>
      </c>
      <c r="M123" s="30">
        <f t="shared" si="8"/>
        <v>122</v>
      </c>
      <c r="N123" s="30" t="str">
        <f t="shared" si="9"/>
        <v>Mary Davis</v>
      </c>
    </row>
    <row r="124" spans="1:14" ht="15.75" customHeight="1" x14ac:dyDescent="0.3">
      <c r="A124" s="25" t="s">
        <v>56</v>
      </c>
      <c r="B124" s="25" t="s">
        <v>47</v>
      </c>
      <c r="C124" s="25" t="s">
        <v>20</v>
      </c>
      <c r="D124" s="25" t="s">
        <v>41</v>
      </c>
      <c r="E124" s="25">
        <v>1014.56</v>
      </c>
      <c r="F124" s="25">
        <v>10</v>
      </c>
      <c r="G124" s="25">
        <v>0.1</v>
      </c>
      <c r="H124" s="26">
        <v>45612</v>
      </c>
      <c r="I124" s="25">
        <v>410.9</v>
      </c>
      <c r="J124" s="27">
        <f t="shared" ca="1" si="5"/>
        <v>46324.918643055556</v>
      </c>
      <c r="K124" s="28">
        <f t="shared" si="6"/>
        <v>24.6</v>
      </c>
      <c r="L124" s="29">
        <f t="shared" si="7"/>
        <v>-9697.24</v>
      </c>
      <c r="M124" s="30">
        <f t="shared" si="8"/>
        <v>123</v>
      </c>
      <c r="N124" s="30" t="str">
        <f t="shared" si="9"/>
        <v>Emma Davis</v>
      </c>
    </row>
    <row r="125" spans="1:14" ht="15.75" customHeight="1" x14ac:dyDescent="0.3">
      <c r="A125" s="25" t="s">
        <v>10</v>
      </c>
      <c r="B125" s="25" t="s">
        <v>19</v>
      </c>
      <c r="C125" s="25" t="s">
        <v>22</v>
      </c>
      <c r="D125" s="25" t="s">
        <v>23</v>
      </c>
      <c r="E125" s="25">
        <v>718.04</v>
      </c>
      <c r="F125" s="25">
        <v>14</v>
      </c>
      <c r="G125" s="25">
        <v>0</v>
      </c>
      <c r="H125" s="26">
        <v>45613</v>
      </c>
      <c r="I125" s="25">
        <v>179.51</v>
      </c>
      <c r="J125" s="27">
        <f t="shared" ca="1" si="5"/>
        <v>46324.918643055556</v>
      </c>
      <c r="K125" s="28">
        <f t="shared" si="6"/>
        <v>24.8</v>
      </c>
      <c r="L125" s="29">
        <f t="shared" si="7"/>
        <v>-4272.3379999999997</v>
      </c>
      <c r="M125" s="30">
        <f t="shared" si="8"/>
        <v>124</v>
      </c>
      <c r="N125" s="30" t="str">
        <f t="shared" si="9"/>
        <v>David Brown</v>
      </c>
    </row>
    <row r="126" spans="1:14" ht="15.75" customHeight="1" x14ac:dyDescent="0.3">
      <c r="A126" s="25" t="s">
        <v>74</v>
      </c>
      <c r="B126" s="25" t="s">
        <v>19</v>
      </c>
      <c r="C126" s="25" t="s">
        <v>36</v>
      </c>
      <c r="D126" s="25" t="s">
        <v>17</v>
      </c>
      <c r="E126" s="25">
        <v>1277.8499999999999</v>
      </c>
      <c r="F126" s="25">
        <v>18</v>
      </c>
      <c r="G126" s="25">
        <v>0.2</v>
      </c>
      <c r="H126" s="26">
        <v>45613</v>
      </c>
      <c r="I126" s="25">
        <v>511.14</v>
      </c>
      <c r="J126" s="27">
        <f t="shared" ca="1" si="5"/>
        <v>46324.918643055556</v>
      </c>
      <c r="K126" s="28">
        <f t="shared" si="6"/>
        <v>25</v>
      </c>
      <c r="L126" s="29">
        <f t="shared" si="7"/>
        <v>-12267.36</v>
      </c>
      <c r="M126" s="30">
        <f t="shared" si="8"/>
        <v>125</v>
      </c>
      <c r="N126" s="30" t="str">
        <f t="shared" si="9"/>
        <v>James Taylor</v>
      </c>
    </row>
    <row r="127" spans="1:14" ht="15.75" customHeight="1" x14ac:dyDescent="0.3">
      <c r="A127" s="25" t="s">
        <v>72</v>
      </c>
      <c r="B127" s="25" t="s">
        <v>25</v>
      </c>
      <c r="C127" s="25" t="s">
        <v>26</v>
      </c>
      <c r="D127" s="25" t="s">
        <v>23</v>
      </c>
      <c r="E127" s="25">
        <v>706.73</v>
      </c>
      <c r="F127" s="25">
        <v>1</v>
      </c>
      <c r="G127" s="25">
        <v>0.15</v>
      </c>
      <c r="H127" s="26">
        <v>45613</v>
      </c>
      <c r="I127" s="25">
        <v>150.18</v>
      </c>
      <c r="J127" s="27">
        <f t="shared" ca="1" si="5"/>
        <v>46324.918643055556</v>
      </c>
      <c r="K127" s="28">
        <f t="shared" si="6"/>
        <v>25.200000000000003</v>
      </c>
      <c r="L127" s="29">
        <f t="shared" si="7"/>
        <v>-3634.3560000000007</v>
      </c>
      <c r="M127" s="30">
        <f t="shared" si="8"/>
        <v>126</v>
      </c>
      <c r="N127" s="30" t="str">
        <f t="shared" si="9"/>
        <v>David Brown</v>
      </c>
    </row>
    <row r="128" spans="1:14" ht="15.75" customHeight="1" x14ac:dyDescent="0.3">
      <c r="A128" s="25" t="s">
        <v>67</v>
      </c>
      <c r="B128" s="25" t="s">
        <v>52</v>
      </c>
      <c r="C128" s="25" t="s">
        <v>20</v>
      </c>
      <c r="D128" s="25" t="s">
        <v>23</v>
      </c>
      <c r="E128" s="25">
        <v>1410.59</v>
      </c>
      <c r="F128" s="25">
        <v>15</v>
      </c>
      <c r="G128" s="25">
        <v>0</v>
      </c>
      <c r="H128" s="26">
        <v>45615</v>
      </c>
      <c r="I128" s="25">
        <v>352.65</v>
      </c>
      <c r="J128" s="27">
        <f t="shared" ca="1" si="5"/>
        <v>46324.918643055556</v>
      </c>
      <c r="K128" s="28">
        <f t="shared" si="6"/>
        <v>25.400000000000002</v>
      </c>
      <c r="L128" s="29">
        <f t="shared" si="7"/>
        <v>-8604.66</v>
      </c>
      <c r="M128" s="30">
        <f t="shared" si="8"/>
        <v>127</v>
      </c>
      <c r="N128" s="30" t="str">
        <f t="shared" si="9"/>
        <v>Linda Wilson</v>
      </c>
    </row>
    <row r="129" spans="1:14" ht="15.75" customHeight="1" x14ac:dyDescent="0.3">
      <c r="A129" s="25" t="s">
        <v>34</v>
      </c>
      <c r="B129" s="25" t="s">
        <v>63</v>
      </c>
      <c r="C129" s="25" t="s">
        <v>22</v>
      </c>
      <c r="D129" s="25" t="s">
        <v>29</v>
      </c>
      <c r="E129" s="25">
        <v>1350.33</v>
      </c>
      <c r="F129" s="25">
        <v>10</v>
      </c>
      <c r="G129" s="25">
        <v>0</v>
      </c>
      <c r="H129" s="26">
        <v>45615</v>
      </c>
      <c r="I129" s="25">
        <v>472.62</v>
      </c>
      <c r="J129" s="27">
        <f t="shared" ca="1" si="5"/>
        <v>46324.918643055556</v>
      </c>
      <c r="K129" s="28">
        <f t="shared" si="6"/>
        <v>25.6</v>
      </c>
      <c r="L129" s="29">
        <f t="shared" si="7"/>
        <v>-11626.452000000001</v>
      </c>
      <c r="M129" s="30">
        <f t="shared" si="8"/>
        <v>128</v>
      </c>
      <c r="N129" s="30" t="str">
        <f t="shared" si="9"/>
        <v>Linda Davis</v>
      </c>
    </row>
    <row r="130" spans="1:14" ht="15.75" customHeight="1" x14ac:dyDescent="0.3">
      <c r="A130" s="25" t="s">
        <v>43</v>
      </c>
      <c r="B130" s="25" t="s">
        <v>47</v>
      </c>
      <c r="C130" s="25" t="s">
        <v>20</v>
      </c>
      <c r="D130" s="25" t="s">
        <v>23</v>
      </c>
      <c r="E130" s="25">
        <v>919.18</v>
      </c>
      <c r="F130" s="25">
        <v>4</v>
      </c>
      <c r="G130" s="25">
        <v>0.15</v>
      </c>
      <c r="H130" s="26">
        <v>45615</v>
      </c>
      <c r="I130" s="25">
        <v>195.33</v>
      </c>
      <c r="J130" s="27">
        <f t="shared" ca="1" si="5"/>
        <v>46324.918643055556</v>
      </c>
      <c r="K130" s="28">
        <f t="shared" si="6"/>
        <v>25.8</v>
      </c>
      <c r="L130" s="29">
        <f t="shared" si="7"/>
        <v>-4844.1840000000002</v>
      </c>
      <c r="M130" s="30">
        <f t="shared" si="8"/>
        <v>129</v>
      </c>
      <c r="N130" s="30" t="str">
        <f t="shared" si="9"/>
        <v>David Anderson</v>
      </c>
    </row>
    <row r="131" spans="1:14" ht="15.75" customHeight="1" x14ac:dyDescent="0.3">
      <c r="A131" s="25" t="s">
        <v>76</v>
      </c>
      <c r="B131" s="25" t="s">
        <v>25</v>
      </c>
      <c r="C131" s="25" t="s">
        <v>12</v>
      </c>
      <c r="D131" s="25" t="s">
        <v>23</v>
      </c>
      <c r="E131" s="25">
        <v>258.51</v>
      </c>
      <c r="F131" s="25">
        <v>19</v>
      </c>
      <c r="G131" s="25">
        <v>0</v>
      </c>
      <c r="H131" s="26">
        <v>45616</v>
      </c>
      <c r="I131" s="25">
        <v>64.63</v>
      </c>
      <c r="J131" s="27">
        <f t="shared" ref="J131:J194" ca="1" si="10">NOW()</f>
        <v>46324.918643055556</v>
      </c>
      <c r="K131" s="28">
        <f t="shared" ref="K131:K194" si="11">(ROW()-1)*0.2</f>
        <v>26</v>
      </c>
      <c r="L131" s="29">
        <f t="shared" ref="L131:L194" si="12">I131 * (1 - K131)</f>
        <v>-1615.75</v>
      </c>
      <c r="M131" s="30">
        <f t="shared" ref="M131:M194" si="13">ROW()-1</f>
        <v>130</v>
      </c>
      <c r="N131" s="30" t="str">
        <f t="shared" ref="N131:N194" si="14">INDEX($B$2:$B$201, MATCH(LARGE($E$2:$E$201, M131), $E$2:$E$201, 0))</f>
        <v>Mary Jackson</v>
      </c>
    </row>
    <row r="132" spans="1:14" ht="15.75" customHeight="1" x14ac:dyDescent="0.3">
      <c r="A132" s="25" t="s">
        <v>65</v>
      </c>
      <c r="B132" s="25" t="s">
        <v>63</v>
      </c>
      <c r="C132" s="25" t="s">
        <v>20</v>
      </c>
      <c r="D132" s="25" t="s">
        <v>13</v>
      </c>
      <c r="E132" s="25">
        <v>1213.48</v>
      </c>
      <c r="F132" s="25">
        <v>5</v>
      </c>
      <c r="G132" s="25">
        <v>0.05</v>
      </c>
      <c r="H132" s="26">
        <v>45616</v>
      </c>
      <c r="I132" s="25">
        <v>461.12</v>
      </c>
      <c r="J132" s="27">
        <f t="shared" ca="1" si="10"/>
        <v>46324.918643055556</v>
      </c>
      <c r="K132" s="28">
        <f t="shared" si="11"/>
        <v>26.200000000000003</v>
      </c>
      <c r="L132" s="29">
        <f t="shared" si="12"/>
        <v>-11620.224000000002</v>
      </c>
      <c r="M132" s="30">
        <f t="shared" si="13"/>
        <v>131</v>
      </c>
      <c r="N132" s="30" t="str">
        <f t="shared" si="14"/>
        <v>James Wilson</v>
      </c>
    </row>
    <row r="133" spans="1:14" ht="15.75" customHeight="1" x14ac:dyDescent="0.3">
      <c r="A133" s="25" t="s">
        <v>59</v>
      </c>
      <c r="B133" s="25" t="s">
        <v>40</v>
      </c>
      <c r="C133" s="25" t="s">
        <v>36</v>
      </c>
      <c r="D133" s="25" t="s">
        <v>13</v>
      </c>
      <c r="E133" s="25">
        <v>1150.28</v>
      </c>
      <c r="F133" s="25">
        <v>8</v>
      </c>
      <c r="G133" s="25">
        <v>0.05</v>
      </c>
      <c r="H133" s="26">
        <v>45622</v>
      </c>
      <c r="I133" s="25">
        <v>437.11</v>
      </c>
      <c r="J133" s="27">
        <f t="shared" ca="1" si="10"/>
        <v>46324.918643055556</v>
      </c>
      <c r="K133" s="28">
        <f t="shared" si="11"/>
        <v>26.400000000000002</v>
      </c>
      <c r="L133" s="29">
        <f t="shared" si="12"/>
        <v>-11102.594000000001</v>
      </c>
      <c r="M133" s="30">
        <f t="shared" si="13"/>
        <v>132</v>
      </c>
      <c r="N133" s="30" t="str">
        <f t="shared" si="14"/>
        <v>Lisa Thomas</v>
      </c>
    </row>
    <row r="134" spans="1:14" ht="15.75" customHeight="1" x14ac:dyDescent="0.3">
      <c r="A134" s="25" t="s">
        <v>39</v>
      </c>
      <c r="B134" s="25" t="s">
        <v>73</v>
      </c>
      <c r="C134" s="25" t="s">
        <v>22</v>
      </c>
      <c r="D134" s="25" t="s">
        <v>29</v>
      </c>
      <c r="E134" s="25">
        <v>853.86</v>
      </c>
      <c r="F134" s="25">
        <v>8</v>
      </c>
      <c r="G134" s="25">
        <v>0.1</v>
      </c>
      <c r="H134" s="26">
        <v>45622</v>
      </c>
      <c r="I134" s="25">
        <v>268.97000000000003</v>
      </c>
      <c r="J134" s="27">
        <f t="shared" ca="1" si="10"/>
        <v>46324.918643055556</v>
      </c>
      <c r="K134" s="28">
        <f t="shared" si="11"/>
        <v>26.6</v>
      </c>
      <c r="L134" s="29">
        <f t="shared" si="12"/>
        <v>-6885.6320000000014</v>
      </c>
      <c r="M134" s="30">
        <f t="shared" si="13"/>
        <v>133</v>
      </c>
      <c r="N134" s="30" t="str">
        <f t="shared" si="14"/>
        <v>David Brown</v>
      </c>
    </row>
    <row r="135" spans="1:14" ht="15.75" customHeight="1" x14ac:dyDescent="0.3">
      <c r="A135" s="25" t="s">
        <v>77</v>
      </c>
      <c r="B135" s="25" t="s">
        <v>47</v>
      </c>
      <c r="C135" s="25" t="s">
        <v>22</v>
      </c>
      <c r="D135" s="25" t="s">
        <v>23</v>
      </c>
      <c r="E135" s="25">
        <v>1061.04</v>
      </c>
      <c r="F135" s="25">
        <v>1</v>
      </c>
      <c r="G135" s="25">
        <v>0</v>
      </c>
      <c r="H135" s="26">
        <v>45624</v>
      </c>
      <c r="I135" s="25">
        <v>265.26</v>
      </c>
      <c r="J135" s="27">
        <f t="shared" ca="1" si="10"/>
        <v>46324.918643055556</v>
      </c>
      <c r="K135" s="28">
        <f t="shared" si="11"/>
        <v>26.8</v>
      </c>
      <c r="L135" s="29">
        <f t="shared" si="12"/>
        <v>-6843.7079999999996</v>
      </c>
      <c r="M135" s="30">
        <f t="shared" si="13"/>
        <v>134</v>
      </c>
      <c r="N135" s="30" t="str">
        <f t="shared" si="14"/>
        <v>James Wilson</v>
      </c>
    </row>
    <row r="136" spans="1:14" ht="15.75" customHeight="1" x14ac:dyDescent="0.3">
      <c r="A136" s="25" t="s">
        <v>30</v>
      </c>
      <c r="B136" s="25" t="s">
        <v>45</v>
      </c>
      <c r="C136" s="25" t="s">
        <v>12</v>
      </c>
      <c r="D136" s="25" t="s">
        <v>23</v>
      </c>
      <c r="E136" s="25">
        <v>894.55</v>
      </c>
      <c r="F136" s="25">
        <v>19</v>
      </c>
      <c r="G136" s="25">
        <v>0.2</v>
      </c>
      <c r="H136" s="26">
        <v>45625</v>
      </c>
      <c r="I136" s="25">
        <v>178.91</v>
      </c>
      <c r="J136" s="27">
        <f t="shared" ca="1" si="10"/>
        <v>46324.918643055556</v>
      </c>
      <c r="K136" s="28">
        <f t="shared" si="11"/>
        <v>27</v>
      </c>
      <c r="L136" s="29">
        <f t="shared" si="12"/>
        <v>-4651.66</v>
      </c>
      <c r="M136" s="30">
        <f t="shared" si="13"/>
        <v>135</v>
      </c>
      <c r="N136" s="30" t="str">
        <f t="shared" si="14"/>
        <v>Emma Davis</v>
      </c>
    </row>
    <row r="137" spans="1:14" ht="15.75" customHeight="1" x14ac:dyDescent="0.3">
      <c r="A137" s="25" t="s">
        <v>27</v>
      </c>
      <c r="B137" s="25" t="s">
        <v>40</v>
      </c>
      <c r="C137" s="25" t="s">
        <v>26</v>
      </c>
      <c r="D137" s="25" t="s">
        <v>41</v>
      </c>
      <c r="E137" s="25">
        <v>833.91</v>
      </c>
      <c r="F137" s="25">
        <v>3</v>
      </c>
      <c r="G137" s="25">
        <v>0.05</v>
      </c>
      <c r="H137" s="26">
        <v>45626</v>
      </c>
      <c r="I137" s="25">
        <v>356.5</v>
      </c>
      <c r="J137" s="27">
        <f t="shared" ca="1" si="10"/>
        <v>46324.918643055556</v>
      </c>
      <c r="K137" s="28">
        <f t="shared" si="11"/>
        <v>27.200000000000003</v>
      </c>
      <c r="L137" s="29">
        <f t="shared" si="12"/>
        <v>-9340.3000000000011</v>
      </c>
      <c r="M137" s="30">
        <f t="shared" si="13"/>
        <v>136</v>
      </c>
      <c r="N137" s="30" t="str">
        <f t="shared" si="14"/>
        <v>Lisa Davis</v>
      </c>
    </row>
    <row r="138" spans="1:14" ht="15.75" customHeight="1" x14ac:dyDescent="0.3">
      <c r="A138" s="25" t="s">
        <v>60</v>
      </c>
      <c r="B138" s="25" t="s">
        <v>73</v>
      </c>
      <c r="C138" s="25" t="s">
        <v>12</v>
      </c>
      <c r="D138" s="25" t="s">
        <v>29</v>
      </c>
      <c r="E138" s="25">
        <v>820.19</v>
      </c>
      <c r="F138" s="25">
        <v>4</v>
      </c>
      <c r="G138" s="25">
        <v>0.2</v>
      </c>
      <c r="H138" s="26">
        <v>45630</v>
      </c>
      <c r="I138" s="25">
        <v>229.65</v>
      </c>
      <c r="J138" s="27">
        <f t="shared" ca="1" si="10"/>
        <v>46324.918643055556</v>
      </c>
      <c r="K138" s="28">
        <f t="shared" si="11"/>
        <v>27.400000000000002</v>
      </c>
      <c r="L138" s="29">
        <f t="shared" si="12"/>
        <v>-6062.76</v>
      </c>
      <c r="M138" s="30">
        <f t="shared" si="13"/>
        <v>137</v>
      </c>
      <c r="N138" s="30" t="str">
        <f t="shared" si="14"/>
        <v>Mary Davis</v>
      </c>
    </row>
    <row r="139" spans="1:14" ht="15.75" customHeight="1" x14ac:dyDescent="0.3">
      <c r="A139" s="25" t="s">
        <v>60</v>
      </c>
      <c r="B139" s="25" t="s">
        <v>40</v>
      </c>
      <c r="C139" s="25" t="s">
        <v>36</v>
      </c>
      <c r="D139" s="25" t="s">
        <v>23</v>
      </c>
      <c r="E139" s="25">
        <v>511.74</v>
      </c>
      <c r="F139" s="25">
        <v>8</v>
      </c>
      <c r="G139" s="25">
        <v>0.05</v>
      </c>
      <c r="H139" s="26">
        <v>45631</v>
      </c>
      <c r="I139" s="25">
        <v>121.54</v>
      </c>
      <c r="J139" s="27">
        <f t="shared" ca="1" si="10"/>
        <v>46324.918643055556</v>
      </c>
      <c r="K139" s="28">
        <f t="shared" si="11"/>
        <v>27.6</v>
      </c>
      <c r="L139" s="29">
        <f t="shared" si="12"/>
        <v>-3232.9640000000004</v>
      </c>
      <c r="M139" s="30">
        <f t="shared" si="13"/>
        <v>138</v>
      </c>
      <c r="N139" s="30" t="str">
        <f t="shared" si="14"/>
        <v>Sarah Davis</v>
      </c>
    </row>
    <row r="140" spans="1:14" ht="15.75" customHeight="1" x14ac:dyDescent="0.3">
      <c r="A140" s="25" t="s">
        <v>67</v>
      </c>
      <c r="B140" s="25" t="s">
        <v>63</v>
      </c>
      <c r="C140" s="25" t="s">
        <v>22</v>
      </c>
      <c r="D140" s="25" t="s">
        <v>29</v>
      </c>
      <c r="E140" s="25">
        <v>806.03</v>
      </c>
      <c r="F140" s="25">
        <v>19</v>
      </c>
      <c r="G140" s="25">
        <v>0.05</v>
      </c>
      <c r="H140" s="26">
        <v>45638</v>
      </c>
      <c r="I140" s="25">
        <v>268</v>
      </c>
      <c r="J140" s="27">
        <f t="shared" ca="1" si="10"/>
        <v>46324.918643055556</v>
      </c>
      <c r="K140" s="28">
        <f t="shared" si="11"/>
        <v>27.8</v>
      </c>
      <c r="L140" s="29">
        <f t="shared" si="12"/>
        <v>-7182.4000000000005</v>
      </c>
      <c r="M140" s="30">
        <f t="shared" si="13"/>
        <v>139</v>
      </c>
      <c r="N140" s="30" t="str">
        <f t="shared" si="14"/>
        <v>Robert Anderson</v>
      </c>
    </row>
    <row r="141" spans="1:14" ht="15.75" customHeight="1" x14ac:dyDescent="0.3">
      <c r="A141" s="25" t="s">
        <v>30</v>
      </c>
      <c r="B141" s="25" t="s">
        <v>28</v>
      </c>
      <c r="C141" s="25" t="s">
        <v>36</v>
      </c>
      <c r="D141" s="25" t="s">
        <v>29</v>
      </c>
      <c r="E141" s="25">
        <v>1432.47</v>
      </c>
      <c r="F141" s="25">
        <v>16</v>
      </c>
      <c r="G141" s="25">
        <v>0.15</v>
      </c>
      <c r="H141" s="26">
        <v>45640</v>
      </c>
      <c r="I141" s="25">
        <v>426.16</v>
      </c>
      <c r="J141" s="27">
        <f t="shared" ca="1" si="10"/>
        <v>46324.918643055556</v>
      </c>
      <c r="K141" s="28">
        <f t="shared" si="11"/>
        <v>28</v>
      </c>
      <c r="L141" s="29">
        <f t="shared" si="12"/>
        <v>-11506.320000000002</v>
      </c>
      <c r="M141" s="30">
        <f t="shared" si="13"/>
        <v>140</v>
      </c>
      <c r="N141" s="30" t="str">
        <f t="shared" si="14"/>
        <v>David Anderson</v>
      </c>
    </row>
    <row r="142" spans="1:14" ht="15.75" customHeight="1" x14ac:dyDescent="0.3">
      <c r="A142" s="25" t="s">
        <v>76</v>
      </c>
      <c r="B142" s="25" t="s">
        <v>31</v>
      </c>
      <c r="C142" s="25" t="s">
        <v>36</v>
      </c>
      <c r="D142" s="25" t="s">
        <v>23</v>
      </c>
      <c r="E142" s="25">
        <v>1488.58</v>
      </c>
      <c r="F142" s="25">
        <v>10</v>
      </c>
      <c r="G142" s="25">
        <v>0.15</v>
      </c>
      <c r="H142" s="26">
        <v>45640</v>
      </c>
      <c r="I142" s="25">
        <v>316.32</v>
      </c>
      <c r="J142" s="27">
        <f t="shared" ca="1" si="10"/>
        <v>46324.918643055556</v>
      </c>
      <c r="K142" s="28">
        <f t="shared" si="11"/>
        <v>28.200000000000003</v>
      </c>
      <c r="L142" s="29">
        <f t="shared" si="12"/>
        <v>-8603.9040000000005</v>
      </c>
      <c r="M142" s="30">
        <f t="shared" si="13"/>
        <v>141</v>
      </c>
      <c r="N142" s="30" t="str">
        <f t="shared" si="14"/>
        <v>Emma Davis</v>
      </c>
    </row>
    <row r="143" spans="1:14" ht="15.75" customHeight="1" x14ac:dyDescent="0.3">
      <c r="A143" s="25" t="s">
        <v>32</v>
      </c>
      <c r="B143" s="25" t="s">
        <v>68</v>
      </c>
      <c r="C143" s="25" t="s">
        <v>20</v>
      </c>
      <c r="D143" s="25" t="s">
        <v>13</v>
      </c>
      <c r="E143" s="25">
        <v>1231.26</v>
      </c>
      <c r="F143" s="25">
        <v>9</v>
      </c>
      <c r="G143" s="25">
        <v>0</v>
      </c>
      <c r="H143" s="26">
        <v>45646</v>
      </c>
      <c r="I143" s="25">
        <v>492.5</v>
      </c>
      <c r="J143" s="27">
        <f t="shared" ca="1" si="10"/>
        <v>46324.918643055556</v>
      </c>
      <c r="K143" s="28">
        <f t="shared" si="11"/>
        <v>28.400000000000002</v>
      </c>
      <c r="L143" s="29">
        <f t="shared" si="12"/>
        <v>-13494.500000000002</v>
      </c>
      <c r="M143" s="30">
        <f t="shared" si="13"/>
        <v>142</v>
      </c>
      <c r="N143" s="30" t="str">
        <f t="shared" si="14"/>
        <v>Emma Wilson</v>
      </c>
    </row>
    <row r="144" spans="1:14" ht="15.75" customHeight="1" x14ac:dyDescent="0.3">
      <c r="A144" s="25" t="s">
        <v>32</v>
      </c>
      <c r="B144" s="25" t="s">
        <v>45</v>
      </c>
      <c r="C144" s="25" t="s">
        <v>12</v>
      </c>
      <c r="D144" s="25" t="s">
        <v>23</v>
      </c>
      <c r="E144" s="25">
        <v>1161.67</v>
      </c>
      <c r="F144" s="25">
        <v>19</v>
      </c>
      <c r="G144" s="25">
        <v>0.2</v>
      </c>
      <c r="H144" s="26">
        <v>45647</v>
      </c>
      <c r="I144" s="25">
        <v>232.33</v>
      </c>
      <c r="J144" s="27">
        <f t="shared" ca="1" si="10"/>
        <v>46324.918643055556</v>
      </c>
      <c r="K144" s="28">
        <f t="shared" si="11"/>
        <v>28.6</v>
      </c>
      <c r="L144" s="29">
        <f t="shared" si="12"/>
        <v>-6412.3080000000009</v>
      </c>
      <c r="M144" s="30">
        <f t="shared" si="13"/>
        <v>143</v>
      </c>
      <c r="N144" s="30" t="str">
        <f t="shared" si="14"/>
        <v>James Davis</v>
      </c>
    </row>
    <row r="145" spans="1:14" ht="15.75" customHeight="1" x14ac:dyDescent="0.3">
      <c r="A145" s="25" t="s">
        <v>51</v>
      </c>
      <c r="B145" s="25" t="s">
        <v>47</v>
      </c>
      <c r="C145" s="25" t="s">
        <v>36</v>
      </c>
      <c r="D145" s="25" t="s">
        <v>41</v>
      </c>
      <c r="E145" s="25">
        <v>388.23</v>
      </c>
      <c r="F145" s="25">
        <v>16</v>
      </c>
      <c r="G145" s="25">
        <v>0.05</v>
      </c>
      <c r="H145" s="26">
        <v>45650</v>
      </c>
      <c r="I145" s="25">
        <v>165.97</v>
      </c>
      <c r="J145" s="27">
        <f t="shared" ca="1" si="10"/>
        <v>46324.918643055556</v>
      </c>
      <c r="K145" s="28">
        <f t="shared" si="11"/>
        <v>28.8</v>
      </c>
      <c r="L145" s="29">
        <f t="shared" si="12"/>
        <v>-4613.9660000000003</v>
      </c>
      <c r="M145" s="30">
        <f t="shared" si="13"/>
        <v>144</v>
      </c>
      <c r="N145" s="30" t="str">
        <f t="shared" si="14"/>
        <v>David Anderson</v>
      </c>
    </row>
    <row r="146" spans="1:14" ht="15.75" customHeight="1" x14ac:dyDescent="0.3">
      <c r="A146" s="25" t="s">
        <v>74</v>
      </c>
      <c r="B146" s="25" t="s">
        <v>33</v>
      </c>
      <c r="C146" s="25" t="s">
        <v>26</v>
      </c>
      <c r="D146" s="25" t="s">
        <v>17</v>
      </c>
      <c r="E146" s="25">
        <v>1589.42</v>
      </c>
      <c r="F146" s="25">
        <v>6</v>
      </c>
      <c r="G146" s="25">
        <v>0.15</v>
      </c>
      <c r="H146" s="26">
        <v>45651</v>
      </c>
      <c r="I146" s="25">
        <v>675.5</v>
      </c>
      <c r="J146" s="27">
        <f t="shared" ca="1" si="10"/>
        <v>46324.918643055556</v>
      </c>
      <c r="K146" s="28">
        <f t="shared" si="11"/>
        <v>29</v>
      </c>
      <c r="L146" s="29">
        <f t="shared" si="12"/>
        <v>-18914</v>
      </c>
      <c r="M146" s="30">
        <f t="shared" si="13"/>
        <v>145</v>
      </c>
      <c r="N146" s="30" t="str">
        <f t="shared" si="14"/>
        <v>James Wilson</v>
      </c>
    </row>
    <row r="147" spans="1:14" ht="15.75" customHeight="1" x14ac:dyDescent="0.3">
      <c r="A147" s="25" t="s">
        <v>30</v>
      </c>
      <c r="B147" s="25" t="s">
        <v>73</v>
      </c>
      <c r="C147" s="25" t="s">
        <v>26</v>
      </c>
      <c r="D147" s="25" t="s">
        <v>17</v>
      </c>
      <c r="E147" s="25">
        <v>336.66</v>
      </c>
      <c r="F147" s="25">
        <v>13</v>
      </c>
      <c r="G147" s="25">
        <v>0.2</v>
      </c>
      <c r="H147" s="26">
        <v>45651</v>
      </c>
      <c r="I147" s="25">
        <v>134.66</v>
      </c>
      <c r="J147" s="27">
        <f t="shared" ca="1" si="10"/>
        <v>46324.918643055556</v>
      </c>
      <c r="K147" s="28">
        <f t="shared" si="11"/>
        <v>29.200000000000003</v>
      </c>
      <c r="L147" s="29">
        <f t="shared" si="12"/>
        <v>-3797.4120000000003</v>
      </c>
      <c r="M147" s="30">
        <f t="shared" si="13"/>
        <v>146</v>
      </c>
      <c r="N147" s="30" t="str">
        <f t="shared" si="14"/>
        <v>Linda Brown</v>
      </c>
    </row>
    <row r="148" spans="1:14" ht="15.75" customHeight="1" x14ac:dyDescent="0.3">
      <c r="A148" s="25" t="s">
        <v>51</v>
      </c>
      <c r="B148" s="25" t="s">
        <v>25</v>
      </c>
      <c r="C148" s="25" t="s">
        <v>12</v>
      </c>
      <c r="D148" s="25" t="s">
        <v>13</v>
      </c>
      <c r="E148" s="25">
        <v>1353.79</v>
      </c>
      <c r="F148" s="25">
        <v>14</v>
      </c>
      <c r="G148" s="25">
        <v>0.1</v>
      </c>
      <c r="H148" s="26">
        <v>45656</v>
      </c>
      <c r="I148" s="25">
        <v>487.36</v>
      </c>
      <c r="J148" s="27">
        <f t="shared" ca="1" si="10"/>
        <v>46324.918643055556</v>
      </c>
      <c r="K148" s="28">
        <f t="shared" si="11"/>
        <v>29.400000000000002</v>
      </c>
      <c r="L148" s="29">
        <f t="shared" si="12"/>
        <v>-13841.024000000001</v>
      </c>
      <c r="M148" s="30">
        <f t="shared" si="13"/>
        <v>147</v>
      </c>
      <c r="N148" s="30" t="str">
        <f t="shared" si="14"/>
        <v>John Brown</v>
      </c>
    </row>
    <row r="149" spans="1:14" ht="15.75" customHeight="1" x14ac:dyDescent="0.3">
      <c r="A149" s="25" t="s">
        <v>65</v>
      </c>
      <c r="B149" s="25" t="s">
        <v>71</v>
      </c>
      <c r="C149" s="25" t="s">
        <v>36</v>
      </c>
      <c r="D149" s="25" t="s">
        <v>17</v>
      </c>
      <c r="E149" s="25">
        <v>662.61</v>
      </c>
      <c r="F149" s="25">
        <v>11</v>
      </c>
      <c r="G149" s="25">
        <v>0.05</v>
      </c>
      <c r="H149" s="26">
        <v>45658</v>
      </c>
      <c r="I149" s="25">
        <v>314.74</v>
      </c>
      <c r="J149" s="27">
        <f t="shared" ca="1" si="10"/>
        <v>46324.918643055556</v>
      </c>
      <c r="K149" s="28">
        <f t="shared" si="11"/>
        <v>29.6</v>
      </c>
      <c r="L149" s="29">
        <f t="shared" si="12"/>
        <v>-9001.5640000000003</v>
      </c>
      <c r="M149" s="30">
        <f t="shared" si="13"/>
        <v>148</v>
      </c>
      <c r="N149" s="30" t="str">
        <f t="shared" si="14"/>
        <v>Mary Wilson</v>
      </c>
    </row>
    <row r="150" spans="1:14" ht="15.75" customHeight="1" x14ac:dyDescent="0.3">
      <c r="A150" s="25" t="s">
        <v>54</v>
      </c>
      <c r="B150" s="25" t="s">
        <v>50</v>
      </c>
      <c r="C150" s="25" t="s">
        <v>26</v>
      </c>
      <c r="D150" s="25" t="s">
        <v>41</v>
      </c>
      <c r="E150" s="25">
        <v>309.42</v>
      </c>
      <c r="F150" s="25">
        <v>1</v>
      </c>
      <c r="G150" s="25">
        <v>0.2</v>
      </c>
      <c r="H150" s="26">
        <v>45658</v>
      </c>
      <c r="I150" s="25">
        <v>111.39</v>
      </c>
      <c r="J150" s="27">
        <f t="shared" ca="1" si="10"/>
        <v>46324.918643055556</v>
      </c>
      <c r="K150" s="28">
        <f t="shared" si="11"/>
        <v>29.8</v>
      </c>
      <c r="L150" s="29">
        <f t="shared" si="12"/>
        <v>-3208.0320000000002</v>
      </c>
      <c r="M150" s="30">
        <f t="shared" si="13"/>
        <v>149</v>
      </c>
      <c r="N150" s="30" t="str">
        <f t="shared" si="14"/>
        <v>Emma Davis</v>
      </c>
    </row>
    <row r="151" spans="1:14" ht="15.75" customHeight="1" x14ac:dyDescent="0.3">
      <c r="A151" s="25" t="s">
        <v>65</v>
      </c>
      <c r="B151" s="25" t="s">
        <v>31</v>
      </c>
      <c r="C151" s="25" t="s">
        <v>26</v>
      </c>
      <c r="D151" s="25" t="s">
        <v>13</v>
      </c>
      <c r="E151" s="25">
        <v>884.63</v>
      </c>
      <c r="F151" s="25">
        <v>18</v>
      </c>
      <c r="G151" s="25">
        <v>0.1</v>
      </c>
      <c r="H151" s="26">
        <v>45659</v>
      </c>
      <c r="I151" s="25">
        <v>318.47000000000003</v>
      </c>
      <c r="J151" s="27">
        <f t="shared" ca="1" si="10"/>
        <v>46324.918643055556</v>
      </c>
      <c r="K151" s="28">
        <f t="shared" si="11"/>
        <v>30</v>
      </c>
      <c r="L151" s="29">
        <f t="shared" si="12"/>
        <v>-9235.630000000001</v>
      </c>
      <c r="M151" s="30">
        <f t="shared" si="13"/>
        <v>150</v>
      </c>
      <c r="N151" s="30" t="str">
        <f t="shared" si="14"/>
        <v>James Davis</v>
      </c>
    </row>
    <row r="152" spans="1:14" ht="15.75" customHeight="1" x14ac:dyDescent="0.3">
      <c r="A152" s="25" t="s">
        <v>54</v>
      </c>
      <c r="B152" s="25" t="s">
        <v>25</v>
      </c>
      <c r="C152" s="25" t="s">
        <v>36</v>
      </c>
      <c r="D152" s="25" t="s">
        <v>41</v>
      </c>
      <c r="E152" s="25">
        <v>745.05</v>
      </c>
      <c r="F152" s="25">
        <v>10</v>
      </c>
      <c r="G152" s="25">
        <v>0.1</v>
      </c>
      <c r="H152" s="26">
        <v>45660</v>
      </c>
      <c r="I152" s="25">
        <v>301.75</v>
      </c>
      <c r="J152" s="27">
        <f t="shared" ca="1" si="10"/>
        <v>46324.918643055556</v>
      </c>
      <c r="K152" s="28">
        <f t="shared" si="11"/>
        <v>30.200000000000003</v>
      </c>
      <c r="L152" s="29">
        <f t="shared" si="12"/>
        <v>-8811.1</v>
      </c>
      <c r="M152" s="30">
        <f t="shared" si="13"/>
        <v>151</v>
      </c>
      <c r="N152" s="30" t="str">
        <f t="shared" si="14"/>
        <v>Robert Anderson</v>
      </c>
    </row>
    <row r="153" spans="1:14" ht="15.75" customHeight="1" x14ac:dyDescent="0.3">
      <c r="A153" s="25" t="s">
        <v>62</v>
      </c>
      <c r="B153" s="25" t="s">
        <v>19</v>
      </c>
      <c r="C153" s="25" t="s">
        <v>22</v>
      </c>
      <c r="D153" s="25" t="s">
        <v>17</v>
      </c>
      <c r="E153" s="25">
        <v>870.23</v>
      </c>
      <c r="F153" s="25">
        <v>5</v>
      </c>
      <c r="G153" s="25">
        <v>0.05</v>
      </c>
      <c r="H153" s="26">
        <v>45660</v>
      </c>
      <c r="I153" s="25">
        <v>413.36</v>
      </c>
      <c r="J153" s="27">
        <f t="shared" ca="1" si="10"/>
        <v>46324.918643055556</v>
      </c>
      <c r="K153" s="28">
        <f t="shared" si="11"/>
        <v>30.400000000000002</v>
      </c>
      <c r="L153" s="29">
        <f t="shared" si="12"/>
        <v>-12152.784000000001</v>
      </c>
      <c r="M153" s="30">
        <f t="shared" si="13"/>
        <v>152</v>
      </c>
      <c r="N153" s="30" t="str">
        <f t="shared" si="14"/>
        <v>Linda Taylor</v>
      </c>
    </row>
    <row r="154" spans="1:14" ht="15.75" customHeight="1" x14ac:dyDescent="0.3">
      <c r="A154" s="25" t="s">
        <v>37</v>
      </c>
      <c r="B154" s="25" t="s">
        <v>31</v>
      </c>
      <c r="C154" s="25" t="s">
        <v>12</v>
      </c>
      <c r="D154" s="25" t="s">
        <v>29</v>
      </c>
      <c r="E154" s="25">
        <v>862.19</v>
      </c>
      <c r="F154" s="25">
        <v>18</v>
      </c>
      <c r="G154" s="25">
        <v>0.05</v>
      </c>
      <c r="H154" s="26">
        <v>45663</v>
      </c>
      <c r="I154" s="25">
        <v>286.68</v>
      </c>
      <c r="J154" s="27">
        <f t="shared" ca="1" si="10"/>
        <v>46324.918643055556</v>
      </c>
      <c r="K154" s="28">
        <f t="shared" si="11"/>
        <v>30.6</v>
      </c>
      <c r="L154" s="29">
        <f t="shared" si="12"/>
        <v>-8485.728000000001</v>
      </c>
      <c r="M154" s="30">
        <f t="shared" si="13"/>
        <v>153</v>
      </c>
      <c r="N154" s="30" t="str">
        <f t="shared" si="14"/>
        <v>James Wilson</v>
      </c>
    </row>
    <row r="155" spans="1:14" ht="15.75" customHeight="1" x14ac:dyDescent="0.3">
      <c r="A155" s="25" t="s">
        <v>75</v>
      </c>
      <c r="B155" s="25" t="s">
        <v>61</v>
      </c>
      <c r="C155" s="25" t="s">
        <v>26</v>
      </c>
      <c r="D155" s="25" t="s">
        <v>17</v>
      </c>
      <c r="E155" s="25">
        <v>1171.18</v>
      </c>
      <c r="F155" s="25">
        <v>19</v>
      </c>
      <c r="G155" s="25">
        <v>0.05</v>
      </c>
      <c r="H155" s="26">
        <v>45667</v>
      </c>
      <c r="I155" s="25">
        <v>556.30999999999995</v>
      </c>
      <c r="J155" s="27">
        <f t="shared" ca="1" si="10"/>
        <v>46324.918643055556</v>
      </c>
      <c r="K155" s="28">
        <f t="shared" si="11"/>
        <v>30.8</v>
      </c>
      <c r="L155" s="29">
        <f t="shared" si="12"/>
        <v>-16578.038</v>
      </c>
      <c r="M155" s="30">
        <f t="shared" si="13"/>
        <v>154</v>
      </c>
      <c r="N155" s="30" t="str">
        <f t="shared" si="14"/>
        <v>Mary Davis</v>
      </c>
    </row>
    <row r="156" spans="1:14" ht="15.75" customHeight="1" x14ac:dyDescent="0.3">
      <c r="A156" s="25" t="s">
        <v>60</v>
      </c>
      <c r="B156" s="25" t="s">
        <v>16</v>
      </c>
      <c r="C156" s="25" t="s">
        <v>22</v>
      </c>
      <c r="D156" s="25" t="s">
        <v>29</v>
      </c>
      <c r="E156" s="25">
        <v>1054.56</v>
      </c>
      <c r="F156" s="25">
        <v>11</v>
      </c>
      <c r="G156" s="25">
        <v>0.1</v>
      </c>
      <c r="H156" s="26">
        <v>45669</v>
      </c>
      <c r="I156" s="25">
        <v>332.19</v>
      </c>
      <c r="J156" s="27">
        <f t="shared" ca="1" si="10"/>
        <v>46324.918643055556</v>
      </c>
      <c r="K156" s="28">
        <f t="shared" si="11"/>
        <v>31</v>
      </c>
      <c r="L156" s="29">
        <f t="shared" si="12"/>
        <v>-9965.7000000000007</v>
      </c>
      <c r="M156" s="30">
        <f t="shared" si="13"/>
        <v>155</v>
      </c>
      <c r="N156" s="30" t="str">
        <f t="shared" si="14"/>
        <v>Linda Wilson</v>
      </c>
    </row>
    <row r="157" spans="1:14" ht="15.75" customHeight="1" x14ac:dyDescent="0.3">
      <c r="A157" s="25" t="s">
        <v>60</v>
      </c>
      <c r="B157" s="25" t="s">
        <v>25</v>
      </c>
      <c r="C157" s="25" t="s">
        <v>26</v>
      </c>
      <c r="D157" s="25" t="s">
        <v>23</v>
      </c>
      <c r="E157" s="25">
        <v>1681.21</v>
      </c>
      <c r="F157" s="25">
        <v>5</v>
      </c>
      <c r="G157" s="25">
        <v>0.2</v>
      </c>
      <c r="H157" s="26">
        <v>45670</v>
      </c>
      <c r="I157" s="25">
        <v>336.24</v>
      </c>
      <c r="J157" s="27">
        <f t="shared" ca="1" si="10"/>
        <v>46324.918643055556</v>
      </c>
      <c r="K157" s="28">
        <f t="shared" si="11"/>
        <v>31.200000000000003</v>
      </c>
      <c r="L157" s="29">
        <f t="shared" si="12"/>
        <v>-10154.448000000002</v>
      </c>
      <c r="M157" s="30">
        <f t="shared" si="13"/>
        <v>156</v>
      </c>
      <c r="N157" s="30" t="str">
        <f t="shared" si="14"/>
        <v>Sarah Davis</v>
      </c>
    </row>
    <row r="158" spans="1:14" ht="15.75" customHeight="1" x14ac:dyDescent="0.3">
      <c r="A158" s="25" t="s">
        <v>60</v>
      </c>
      <c r="B158" s="25" t="s">
        <v>38</v>
      </c>
      <c r="C158" s="25" t="s">
        <v>12</v>
      </c>
      <c r="D158" s="25" t="s">
        <v>17</v>
      </c>
      <c r="E158" s="25">
        <v>379.77</v>
      </c>
      <c r="F158" s="25">
        <v>9</v>
      </c>
      <c r="G158" s="25">
        <v>0.05</v>
      </c>
      <c r="H158" s="26">
        <v>45673</v>
      </c>
      <c r="I158" s="25">
        <v>180.39</v>
      </c>
      <c r="J158" s="27">
        <f t="shared" ca="1" si="10"/>
        <v>46324.918643055556</v>
      </c>
      <c r="K158" s="28">
        <f t="shared" si="11"/>
        <v>31.400000000000002</v>
      </c>
      <c r="L158" s="29">
        <f t="shared" si="12"/>
        <v>-5483.8559999999998</v>
      </c>
      <c r="M158" s="30">
        <f t="shared" si="13"/>
        <v>157</v>
      </c>
      <c r="N158" s="30" t="str">
        <f t="shared" si="14"/>
        <v>Robert Anderson</v>
      </c>
    </row>
    <row r="159" spans="1:14" ht="15.75" customHeight="1" x14ac:dyDescent="0.3">
      <c r="A159" s="25" t="s">
        <v>46</v>
      </c>
      <c r="B159" s="25" t="s">
        <v>47</v>
      </c>
      <c r="C159" s="25" t="s">
        <v>36</v>
      </c>
      <c r="D159" s="25" t="s">
        <v>17</v>
      </c>
      <c r="E159" s="25">
        <v>1076.33</v>
      </c>
      <c r="F159" s="25">
        <v>2</v>
      </c>
      <c r="G159" s="25">
        <v>0.1</v>
      </c>
      <c r="H159" s="26">
        <v>45674</v>
      </c>
      <c r="I159" s="25">
        <v>484.35</v>
      </c>
      <c r="J159" s="27">
        <f t="shared" ca="1" si="10"/>
        <v>46324.918643055556</v>
      </c>
      <c r="K159" s="28">
        <f t="shared" si="11"/>
        <v>31.6</v>
      </c>
      <c r="L159" s="29">
        <f t="shared" si="12"/>
        <v>-14821.11</v>
      </c>
      <c r="M159" s="30">
        <f t="shared" si="13"/>
        <v>158</v>
      </c>
      <c r="N159" s="30" t="str">
        <f t="shared" si="14"/>
        <v>David Thomas</v>
      </c>
    </row>
    <row r="160" spans="1:14" ht="15.75" customHeight="1" x14ac:dyDescent="0.3">
      <c r="A160" s="25" t="s">
        <v>46</v>
      </c>
      <c r="B160" s="25" t="s">
        <v>33</v>
      </c>
      <c r="C160" s="25" t="s">
        <v>36</v>
      </c>
      <c r="D160" s="25" t="s">
        <v>41</v>
      </c>
      <c r="E160" s="25">
        <v>1250.71</v>
      </c>
      <c r="F160" s="25">
        <v>7</v>
      </c>
      <c r="G160" s="25">
        <v>0</v>
      </c>
      <c r="H160" s="26">
        <v>45674</v>
      </c>
      <c r="I160" s="25">
        <v>562.82000000000005</v>
      </c>
      <c r="J160" s="27">
        <f t="shared" ca="1" si="10"/>
        <v>46324.918643055556</v>
      </c>
      <c r="K160" s="28">
        <f t="shared" si="11"/>
        <v>31.8</v>
      </c>
      <c r="L160" s="29">
        <f t="shared" si="12"/>
        <v>-17334.856000000003</v>
      </c>
      <c r="M160" s="30">
        <f t="shared" si="13"/>
        <v>159</v>
      </c>
      <c r="N160" s="30" t="str">
        <f t="shared" si="14"/>
        <v>Emma Taylor</v>
      </c>
    </row>
    <row r="161" spans="1:14" ht="15.75" customHeight="1" x14ac:dyDescent="0.3">
      <c r="A161" s="25" t="s">
        <v>42</v>
      </c>
      <c r="B161" s="25" t="s">
        <v>19</v>
      </c>
      <c r="C161" s="25" t="s">
        <v>22</v>
      </c>
      <c r="D161" s="25" t="s">
        <v>17</v>
      </c>
      <c r="E161" s="25">
        <v>1118.3399999999999</v>
      </c>
      <c r="F161" s="25">
        <v>6</v>
      </c>
      <c r="G161" s="25">
        <v>0.2</v>
      </c>
      <c r="H161" s="26">
        <v>45674</v>
      </c>
      <c r="I161" s="25">
        <v>447.34</v>
      </c>
      <c r="J161" s="27">
        <f t="shared" ca="1" si="10"/>
        <v>46324.918643055556</v>
      </c>
      <c r="K161" s="28">
        <f t="shared" si="11"/>
        <v>32</v>
      </c>
      <c r="L161" s="29">
        <f t="shared" si="12"/>
        <v>-13867.539999999999</v>
      </c>
      <c r="M161" s="30">
        <f t="shared" si="13"/>
        <v>160</v>
      </c>
      <c r="N161" s="30" t="str">
        <f t="shared" si="14"/>
        <v>Robert Anderson</v>
      </c>
    </row>
    <row r="162" spans="1:14" ht="15.75" customHeight="1" x14ac:dyDescent="0.3">
      <c r="A162" s="25" t="s">
        <v>72</v>
      </c>
      <c r="B162" s="25" t="s">
        <v>55</v>
      </c>
      <c r="C162" s="25" t="s">
        <v>26</v>
      </c>
      <c r="D162" s="25" t="s">
        <v>17</v>
      </c>
      <c r="E162" s="25">
        <v>1622.62</v>
      </c>
      <c r="F162" s="25">
        <v>12</v>
      </c>
      <c r="G162" s="25">
        <v>0.2</v>
      </c>
      <c r="H162" s="26">
        <v>45677</v>
      </c>
      <c r="I162" s="25">
        <v>649.04999999999995</v>
      </c>
      <c r="J162" s="27">
        <f t="shared" ca="1" si="10"/>
        <v>46324.918643055556</v>
      </c>
      <c r="K162" s="28">
        <f t="shared" si="11"/>
        <v>32.200000000000003</v>
      </c>
      <c r="L162" s="29">
        <f t="shared" si="12"/>
        <v>-20250.36</v>
      </c>
      <c r="M162" s="30">
        <f t="shared" si="13"/>
        <v>161</v>
      </c>
      <c r="N162" s="30" t="str">
        <f t="shared" si="14"/>
        <v>James Taylor</v>
      </c>
    </row>
    <row r="163" spans="1:14" ht="15.75" customHeight="1" x14ac:dyDescent="0.3">
      <c r="A163" s="25" t="s">
        <v>77</v>
      </c>
      <c r="B163" s="25" t="s">
        <v>50</v>
      </c>
      <c r="C163" s="25" t="s">
        <v>26</v>
      </c>
      <c r="D163" s="25" t="s">
        <v>13</v>
      </c>
      <c r="E163" s="25">
        <v>640.64</v>
      </c>
      <c r="F163" s="25">
        <v>11</v>
      </c>
      <c r="G163" s="25">
        <v>0.2</v>
      </c>
      <c r="H163" s="26">
        <v>45678</v>
      </c>
      <c r="I163" s="25">
        <v>205</v>
      </c>
      <c r="J163" s="27">
        <f t="shared" ca="1" si="10"/>
        <v>46324.918643055556</v>
      </c>
      <c r="K163" s="28">
        <f t="shared" si="11"/>
        <v>32.4</v>
      </c>
      <c r="L163" s="29">
        <f t="shared" si="12"/>
        <v>-6437</v>
      </c>
      <c r="M163" s="30">
        <f t="shared" si="13"/>
        <v>162</v>
      </c>
      <c r="N163" s="30" t="str">
        <f t="shared" si="14"/>
        <v>James Taylor</v>
      </c>
    </row>
    <row r="164" spans="1:14" ht="15.75" customHeight="1" x14ac:dyDescent="0.3">
      <c r="A164" s="25" t="s">
        <v>24</v>
      </c>
      <c r="B164" s="25" t="s">
        <v>45</v>
      </c>
      <c r="C164" s="25" t="s">
        <v>12</v>
      </c>
      <c r="D164" s="25" t="s">
        <v>17</v>
      </c>
      <c r="E164" s="25">
        <v>585.16</v>
      </c>
      <c r="F164" s="25">
        <v>17</v>
      </c>
      <c r="G164" s="25">
        <v>0.1</v>
      </c>
      <c r="H164" s="26">
        <v>45684</v>
      </c>
      <c r="I164" s="25">
        <v>263.32</v>
      </c>
      <c r="J164" s="27">
        <f t="shared" ca="1" si="10"/>
        <v>46324.918643055556</v>
      </c>
      <c r="K164" s="28">
        <f t="shared" si="11"/>
        <v>32.6</v>
      </c>
      <c r="L164" s="29">
        <f t="shared" si="12"/>
        <v>-8320.9120000000003</v>
      </c>
      <c r="M164" s="30">
        <f t="shared" si="13"/>
        <v>163</v>
      </c>
      <c r="N164" s="30" t="str">
        <f t="shared" si="14"/>
        <v>Sarah Davis</v>
      </c>
    </row>
    <row r="165" spans="1:14" ht="15.75" customHeight="1" x14ac:dyDescent="0.3">
      <c r="A165" s="25" t="s">
        <v>24</v>
      </c>
      <c r="B165" s="25" t="s">
        <v>33</v>
      </c>
      <c r="C165" s="25" t="s">
        <v>20</v>
      </c>
      <c r="D165" s="25" t="s">
        <v>17</v>
      </c>
      <c r="E165" s="25">
        <v>1109.98</v>
      </c>
      <c r="F165" s="25">
        <v>5</v>
      </c>
      <c r="G165" s="25">
        <v>0.2</v>
      </c>
      <c r="H165" s="26">
        <v>45690</v>
      </c>
      <c r="I165" s="25">
        <v>443.99</v>
      </c>
      <c r="J165" s="27">
        <f t="shared" ca="1" si="10"/>
        <v>46324.918643055556</v>
      </c>
      <c r="K165" s="28">
        <f t="shared" si="11"/>
        <v>32.800000000000004</v>
      </c>
      <c r="L165" s="29">
        <f t="shared" si="12"/>
        <v>-14118.882000000001</v>
      </c>
      <c r="M165" s="30">
        <f t="shared" si="13"/>
        <v>164</v>
      </c>
      <c r="N165" s="30" t="str">
        <f t="shared" si="14"/>
        <v>James Wilson</v>
      </c>
    </row>
    <row r="166" spans="1:14" ht="15.75" customHeight="1" x14ac:dyDescent="0.3">
      <c r="A166" s="25" t="s">
        <v>60</v>
      </c>
      <c r="B166" s="25" t="s">
        <v>47</v>
      </c>
      <c r="C166" s="25" t="s">
        <v>20</v>
      </c>
      <c r="D166" s="25" t="s">
        <v>13</v>
      </c>
      <c r="E166" s="25">
        <v>1098.08</v>
      </c>
      <c r="F166" s="25">
        <v>9</v>
      </c>
      <c r="G166" s="25">
        <v>0.1</v>
      </c>
      <c r="H166" s="26">
        <v>45692</v>
      </c>
      <c r="I166" s="25">
        <v>395.31</v>
      </c>
      <c r="J166" s="27">
        <f t="shared" ca="1" si="10"/>
        <v>46324.918643055556</v>
      </c>
      <c r="K166" s="28">
        <f t="shared" si="11"/>
        <v>33</v>
      </c>
      <c r="L166" s="29">
        <f t="shared" si="12"/>
        <v>-12649.92</v>
      </c>
      <c r="M166" s="30">
        <f t="shared" si="13"/>
        <v>165</v>
      </c>
      <c r="N166" s="30" t="str">
        <f t="shared" si="14"/>
        <v>Mary Davis</v>
      </c>
    </row>
    <row r="167" spans="1:14" ht="15.75" customHeight="1" x14ac:dyDescent="0.3">
      <c r="A167" s="25" t="s">
        <v>67</v>
      </c>
      <c r="B167" s="25" t="s">
        <v>50</v>
      </c>
      <c r="C167" s="25" t="s">
        <v>12</v>
      </c>
      <c r="D167" s="25" t="s">
        <v>41</v>
      </c>
      <c r="E167" s="25">
        <v>827.25</v>
      </c>
      <c r="F167" s="25">
        <v>7</v>
      </c>
      <c r="G167" s="25">
        <v>0.1</v>
      </c>
      <c r="H167" s="26">
        <v>45693</v>
      </c>
      <c r="I167" s="25">
        <v>335.04</v>
      </c>
      <c r="J167" s="27">
        <f t="shared" ca="1" si="10"/>
        <v>46324.918643055556</v>
      </c>
      <c r="K167" s="28">
        <f t="shared" si="11"/>
        <v>33.200000000000003</v>
      </c>
      <c r="L167" s="29">
        <f t="shared" si="12"/>
        <v>-10788.288000000002</v>
      </c>
      <c r="M167" s="30">
        <f t="shared" si="13"/>
        <v>166</v>
      </c>
      <c r="N167" s="30" t="str">
        <f t="shared" si="14"/>
        <v>Sarah Anderson</v>
      </c>
    </row>
    <row r="168" spans="1:14" ht="15.75" customHeight="1" x14ac:dyDescent="0.3">
      <c r="A168" s="25" t="s">
        <v>72</v>
      </c>
      <c r="B168" s="25" t="s">
        <v>31</v>
      </c>
      <c r="C168" s="25" t="s">
        <v>36</v>
      </c>
      <c r="D168" s="25" t="s">
        <v>17</v>
      </c>
      <c r="E168" s="25">
        <v>741.88</v>
      </c>
      <c r="F168" s="25">
        <v>16</v>
      </c>
      <c r="G168" s="25">
        <v>0.1</v>
      </c>
      <c r="H168" s="26">
        <v>45695</v>
      </c>
      <c r="I168" s="25">
        <v>333.85</v>
      </c>
      <c r="J168" s="27">
        <f t="shared" ca="1" si="10"/>
        <v>46324.918643055556</v>
      </c>
      <c r="K168" s="28">
        <f t="shared" si="11"/>
        <v>33.4</v>
      </c>
      <c r="L168" s="29">
        <f t="shared" si="12"/>
        <v>-10816.74</v>
      </c>
      <c r="M168" s="30">
        <f t="shared" si="13"/>
        <v>167</v>
      </c>
      <c r="N168" s="30" t="str">
        <f t="shared" si="14"/>
        <v>James Wilson</v>
      </c>
    </row>
    <row r="169" spans="1:14" ht="15.75" customHeight="1" x14ac:dyDescent="0.3">
      <c r="A169" s="25" t="s">
        <v>74</v>
      </c>
      <c r="B169" s="25" t="s">
        <v>11</v>
      </c>
      <c r="C169" s="25" t="s">
        <v>20</v>
      </c>
      <c r="D169" s="25" t="s">
        <v>41</v>
      </c>
      <c r="E169" s="25">
        <v>1311.26</v>
      </c>
      <c r="F169" s="25">
        <v>6</v>
      </c>
      <c r="G169" s="25">
        <v>0.1</v>
      </c>
      <c r="H169" s="26">
        <v>45698</v>
      </c>
      <c r="I169" s="25">
        <v>531.05999999999995</v>
      </c>
      <c r="J169" s="27">
        <f t="shared" ca="1" si="10"/>
        <v>46324.918643055556</v>
      </c>
      <c r="K169" s="28">
        <f t="shared" si="11"/>
        <v>33.6</v>
      </c>
      <c r="L169" s="29">
        <f t="shared" si="12"/>
        <v>-17312.556</v>
      </c>
      <c r="M169" s="30">
        <f t="shared" si="13"/>
        <v>168</v>
      </c>
      <c r="N169" s="30" t="str">
        <f t="shared" si="14"/>
        <v>Linda Taylor</v>
      </c>
    </row>
    <row r="170" spans="1:14" ht="15.75" customHeight="1" x14ac:dyDescent="0.3">
      <c r="A170" s="25" t="s">
        <v>74</v>
      </c>
      <c r="B170" s="25" t="s">
        <v>33</v>
      </c>
      <c r="C170" s="25" t="s">
        <v>22</v>
      </c>
      <c r="D170" s="25" t="s">
        <v>41</v>
      </c>
      <c r="E170" s="25">
        <v>573.32000000000005</v>
      </c>
      <c r="F170" s="25">
        <v>19</v>
      </c>
      <c r="G170" s="25">
        <v>0.1</v>
      </c>
      <c r="H170" s="26">
        <v>45703</v>
      </c>
      <c r="I170" s="25">
        <v>232.19</v>
      </c>
      <c r="J170" s="27">
        <f t="shared" ca="1" si="10"/>
        <v>46324.918643055556</v>
      </c>
      <c r="K170" s="28">
        <f t="shared" si="11"/>
        <v>33.800000000000004</v>
      </c>
      <c r="L170" s="29">
        <f t="shared" si="12"/>
        <v>-7615.8320000000012</v>
      </c>
      <c r="M170" s="30">
        <f t="shared" si="13"/>
        <v>169</v>
      </c>
      <c r="N170" s="30" t="str">
        <f t="shared" si="14"/>
        <v>David Brown</v>
      </c>
    </row>
    <row r="171" spans="1:14" ht="15.75" customHeight="1" x14ac:dyDescent="0.3">
      <c r="A171" s="25" t="s">
        <v>54</v>
      </c>
      <c r="B171" s="25" t="s">
        <v>25</v>
      </c>
      <c r="C171" s="25" t="s">
        <v>12</v>
      </c>
      <c r="D171" s="25" t="s">
        <v>23</v>
      </c>
      <c r="E171" s="25">
        <v>1115.22</v>
      </c>
      <c r="F171" s="25">
        <v>14</v>
      </c>
      <c r="G171" s="25">
        <v>0.2</v>
      </c>
      <c r="H171" s="26">
        <v>45705</v>
      </c>
      <c r="I171" s="25">
        <v>223.04</v>
      </c>
      <c r="J171" s="27">
        <f t="shared" ca="1" si="10"/>
        <v>46324.918643055556</v>
      </c>
      <c r="K171" s="28">
        <f t="shared" si="11"/>
        <v>34</v>
      </c>
      <c r="L171" s="29">
        <f t="shared" si="12"/>
        <v>-7360.32</v>
      </c>
      <c r="M171" s="30">
        <f t="shared" si="13"/>
        <v>170</v>
      </c>
      <c r="N171" s="30" t="str">
        <f t="shared" si="14"/>
        <v>Mary Wilson</v>
      </c>
    </row>
    <row r="172" spans="1:14" ht="15.75" customHeight="1" x14ac:dyDescent="0.3">
      <c r="A172" s="25" t="s">
        <v>15</v>
      </c>
      <c r="B172" s="25" t="s">
        <v>47</v>
      </c>
      <c r="C172" s="25" t="s">
        <v>26</v>
      </c>
      <c r="D172" s="25" t="s">
        <v>17</v>
      </c>
      <c r="E172" s="25">
        <v>845.84</v>
      </c>
      <c r="F172" s="25">
        <v>4</v>
      </c>
      <c r="G172" s="25">
        <v>0</v>
      </c>
      <c r="H172" s="26">
        <v>45707</v>
      </c>
      <c r="I172" s="25">
        <v>422.92</v>
      </c>
      <c r="J172" s="27">
        <f t="shared" ca="1" si="10"/>
        <v>46324.918643055556</v>
      </c>
      <c r="K172" s="28">
        <f t="shared" si="11"/>
        <v>34.200000000000003</v>
      </c>
      <c r="L172" s="29">
        <f t="shared" si="12"/>
        <v>-14040.944000000001</v>
      </c>
      <c r="M172" s="30">
        <f t="shared" si="13"/>
        <v>171</v>
      </c>
      <c r="N172" s="30" t="str">
        <f t="shared" si="14"/>
        <v>David Brown</v>
      </c>
    </row>
    <row r="173" spans="1:14" ht="15.75" customHeight="1" x14ac:dyDescent="0.3">
      <c r="A173" s="25" t="s">
        <v>32</v>
      </c>
      <c r="B173" s="25" t="s">
        <v>57</v>
      </c>
      <c r="C173" s="25" t="s">
        <v>12</v>
      </c>
      <c r="D173" s="25" t="s">
        <v>23</v>
      </c>
      <c r="E173" s="25">
        <v>1029.8</v>
      </c>
      <c r="F173" s="25">
        <v>3</v>
      </c>
      <c r="G173" s="25">
        <v>0</v>
      </c>
      <c r="H173" s="26">
        <v>45708</v>
      </c>
      <c r="I173" s="25">
        <v>257.45</v>
      </c>
      <c r="J173" s="27">
        <f t="shared" ca="1" si="10"/>
        <v>46324.918643055556</v>
      </c>
      <c r="K173" s="28">
        <f t="shared" si="11"/>
        <v>34.4</v>
      </c>
      <c r="L173" s="29">
        <f t="shared" si="12"/>
        <v>-8598.83</v>
      </c>
      <c r="M173" s="30">
        <f t="shared" si="13"/>
        <v>172</v>
      </c>
      <c r="N173" s="30" t="str">
        <f t="shared" si="14"/>
        <v>John Brown</v>
      </c>
    </row>
    <row r="174" spans="1:14" ht="15.75" customHeight="1" x14ac:dyDescent="0.3">
      <c r="A174" s="25" t="s">
        <v>34</v>
      </c>
      <c r="B174" s="25" t="s">
        <v>33</v>
      </c>
      <c r="C174" s="25" t="s">
        <v>26</v>
      </c>
      <c r="D174" s="25" t="s">
        <v>13</v>
      </c>
      <c r="E174" s="25">
        <v>1189.83</v>
      </c>
      <c r="F174" s="25">
        <v>2</v>
      </c>
      <c r="G174" s="25">
        <v>0.2</v>
      </c>
      <c r="H174" s="26">
        <v>45709</v>
      </c>
      <c r="I174" s="25">
        <v>380.75</v>
      </c>
      <c r="J174" s="27">
        <f t="shared" ca="1" si="10"/>
        <v>46324.918643055556</v>
      </c>
      <c r="K174" s="28">
        <f t="shared" si="11"/>
        <v>34.6</v>
      </c>
      <c r="L174" s="29">
        <f t="shared" si="12"/>
        <v>-12793.2</v>
      </c>
      <c r="M174" s="30">
        <f t="shared" si="13"/>
        <v>173</v>
      </c>
      <c r="N174" s="30" t="str">
        <f t="shared" si="14"/>
        <v>Linda Moore</v>
      </c>
    </row>
    <row r="175" spans="1:14" ht="15.75" customHeight="1" x14ac:dyDescent="0.3">
      <c r="A175" s="25" t="s">
        <v>69</v>
      </c>
      <c r="B175" s="25" t="s">
        <v>45</v>
      </c>
      <c r="C175" s="25" t="s">
        <v>22</v>
      </c>
      <c r="D175" s="25" t="s">
        <v>13</v>
      </c>
      <c r="E175" s="25">
        <v>704.28</v>
      </c>
      <c r="F175" s="25">
        <v>15</v>
      </c>
      <c r="G175" s="25">
        <v>0.2</v>
      </c>
      <c r="H175" s="26">
        <v>45712</v>
      </c>
      <c r="I175" s="25">
        <v>225.37</v>
      </c>
      <c r="J175" s="27">
        <f t="shared" ca="1" si="10"/>
        <v>46324.918643055556</v>
      </c>
      <c r="K175" s="28">
        <f t="shared" si="11"/>
        <v>34.800000000000004</v>
      </c>
      <c r="L175" s="29">
        <f t="shared" si="12"/>
        <v>-7617.5060000000012</v>
      </c>
      <c r="M175" s="30">
        <f t="shared" si="13"/>
        <v>174</v>
      </c>
      <c r="N175" s="30" t="str">
        <f t="shared" si="14"/>
        <v>Linda Moore</v>
      </c>
    </row>
    <row r="176" spans="1:14" ht="15.75" customHeight="1" x14ac:dyDescent="0.3">
      <c r="A176" s="25" t="s">
        <v>67</v>
      </c>
      <c r="B176" s="25" t="s">
        <v>49</v>
      </c>
      <c r="C176" s="25" t="s">
        <v>36</v>
      </c>
      <c r="D176" s="25" t="s">
        <v>41</v>
      </c>
      <c r="E176" s="25">
        <v>1618.22</v>
      </c>
      <c r="F176" s="25">
        <v>12</v>
      </c>
      <c r="G176" s="25">
        <v>0.2</v>
      </c>
      <c r="H176" s="26">
        <v>45712</v>
      </c>
      <c r="I176" s="25">
        <v>582.55999999999995</v>
      </c>
      <c r="J176" s="27">
        <f t="shared" ca="1" si="10"/>
        <v>46324.918643055556</v>
      </c>
      <c r="K176" s="28">
        <f t="shared" si="11"/>
        <v>35</v>
      </c>
      <c r="L176" s="29">
        <f t="shared" si="12"/>
        <v>-19807.039999999997</v>
      </c>
      <c r="M176" s="30">
        <f t="shared" si="13"/>
        <v>175</v>
      </c>
      <c r="N176" s="30" t="str">
        <f t="shared" si="14"/>
        <v>Mary Davis</v>
      </c>
    </row>
    <row r="177" spans="1:14" ht="15.75" customHeight="1" x14ac:dyDescent="0.3">
      <c r="A177" s="25" t="s">
        <v>75</v>
      </c>
      <c r="B177" s="25" t="s">
        <v>55</v>
      </c>
      <c r="C177" s="25" t="s">
        <v>36</v>
      </c>
      <c r="D177" s="25" t="s">
        <v>13</v>
      </c>
      <c r="E177" s="25">
        <v>1014.43</v>
      </c>
      <c r="F177" s="25">
        <v>2</v>
      </c>
      <c r="G177" s="25">
        <v>0.15</v>
      </c>
      <c r="H177" s="26">
        <v>45713</v>
      </c>
      <c r="I177" s="25">
        <v>344.91</v>
      </c>
      <c r="J177" s="27">
        <f t="shared" ca="1" si="10"/>
        <v>46324.918643055556</v>
      </c>
      <c r="K177" s="28">
        <f t="shared" si="11"/>
        <v>35.200000000000003</v>
      </c>
      <c r="L177" s="29">
        <f t="shared" si="12"/>
        <v>-11795.922000000002</v>
      </c>
      <c r="M177" s="30">
        <f t="shared" si="13"/>
        <v>176</v>
      </c>
      <c r="N177" s="30" t="str">
        <f t="shared" si="14"/>
        <v>Lisa Davis</v>
      </c>
    </row>
    <row r="178" spans="1:14" ht="15.75" customHeight="1" x14ac:dyDescent="0.3">
      <c r="A178" s="25" t="s">
        <v>77</v>
      </c>
      <c r="B178" s="25" t="s">
        <v>33</v>
      </c>
      <c r="C178" s="25" t="s">
        <v>36</v>
      </c>
      <c r="D178" s="25" t="s">
        <v>17</v>
      </c>
      <c r="E178" s="25">
        <v>826.97</v>
      </c>
      <c r="F178" s="25">
        <v>18</v>
      </c>
      <c r="G178" s="25">
        <v>0.2</v>
      </c>
      <c r="H178" s="26">
        <v>45715</v>
      </c>
      <c r="I178" s="25">
        <v>330.79</v>
      </c>
      <c r="J178" s="27">
        <f t="shared" ca="1" si="10"/>
        <v>46324.918643055556</v>
      </c>
      <c r="K178" s="28">
        <f t="shared" si="11"/>
        <v>35.4</v>
      </c>
      <c r="L178" s="29">
        <f t="shared" si="12"/>
        <v>-11379.175999999999</v>
      </c>
      <c r="M178" s="30">
        <f t="shared" si="13"/>
        <v>177</v>
      </c>
      <c r="N178" s="30" t="str">
        <f t="shared" si="14"/>
        <v>Lisa Thomas</v>
      </c>
    </row>
    <row r="179" spans="1:14" ht="15.75" customHeight="1" x14ac:dyDescent="0.3">
      <c r="A179" s="25" t="s">
        <v>18</v>
      </c>
      <c r="B179" s="25" t="s">
        <v>33</v>
      </c>
      <c r="C179" s="25" t="s">
        <v>36</v>
      </c>
      <c r="D179" s="25" t="s">
        <v>17</v>
      </c>
      <c r="E179" s="25">
        <v>1022.23</v>
      </c>
      <c r="F179" s="25">
        <v>8</v>
      </c>
      <c r="G179" s="25">
        <v>0.1</v>
      </c>
      <c r="H179" s="26">
        <v>45717</v>
      </c>
      <c r="I179" s="25">
        <v>460</v>
      </c>
      <c r="J179" s="27">
        <f t="shared" ca="1" si="10"/>
        <v>46324.918643055556</v>
      </c>
      <c r="K179" s="28">
        <f t="shared" si="11"/>
        <v>35.6</v>
      </c>
      <c r="L179" s="29">
        <f t="shared" si="12"/>
        <v>-15916</v>
      </c>
      <c r="M179" s="30">
        <f t="shared" si="13"/>
        <v>178</v>
      </c>
      <c r="N179" s="30" t="str">
        <f t="shared" si="14"/>
        <v>David Brown</v>
      </c>
    </row>
    <row r="180" spans="1:14" ht="15.75" customHeight="1" x14ac:dyDescent="0.3">
      <c r="A180" s="25" t="s">
        <v>74</v>
      </c>
      <c r="B180" s="25" t="s">
        <v>31</v>
      </c>
      <c r="C180" s="25" t="s">
        <v>20</v>
      </c>
      <c r="D180" s="25" t="s">
        <v>13</v>
      </c>
      <c r="E180" s="25">
        <v>1099.69</v>
      </c>
      <c r="F180" s="25">
        <v>6</v>
      </c>
      <c r="G180" s="25">
        <v>0</v>
      </c>
      <c r="H180" s="26">
        <v>45718</v>
      </c>
      <c r="I180" s="25">
        <v>439.88</v>
      </c>
      <c r="J180" s="27">
        <f t="shared" ca="1" si="10"/>
        <v>46324.918643055556</v>
      </c>
      <c r="K180" s="28">
        <f t="shared" si="11"/>
        <v>35.800000000000004</v>
      </c>
      <c r="L180" s="29">
        <f t="shared" si="12"/>
        <v>-15307.824000000002</v>
      </c>
      <c r="M180" s="30">
        <f t="shared" si="13"/>
        <v>179</v>
      </c>
      <c r="N180" s="30" t="str">
        <f t="shared" si="14"/>
        <v>Emma Davis</v>
      </c>
    </row>
    <row r="181" spans="1:14" ht="15.75" customHeight="1" x14ac:dyDescent="0.3">
      <c r="A181" s="25" t="s">
        <v>54</v>
      </c>
      <c r="B181" s="25" t="s">
        <v>66</v>
      </c>
      <c r="C181" s="25" t="s">
        <v>26</v>
      </c>
      <c r="D181" s="25" t="s">
        <v>13</v>
      </c>
      <c r="E181" s="25">
        <v>710.52</v>
      </c>
      <c r="F181" s="25">
        <v>8</v>
      </c>
      <c r="G181" s="25">
        <v>0.1</v>
      </c>
      <c r="H181" s="26">
        <v>45721</v>
      </c>
      <c r="I181" s="25">
        <v>255.79</v>
      </c>
      <c r="J181" s="27">
        <f t="shared" ca="1" si="10"/>
        <v>46324.918643055556</v>
      </c>
      <c r="K181" s="28">
        <f t="shared" si="11"/>
        <v>36</v>
      </c>
      <c r="L181" s="29">
        <f t="shared" si="12"/>
        <v>-8952.65</v>
      </c>
      <c r="M181" s="30">
        <f t="shared" si="13"/>
        <v>180</v>
      </c>
      <c r="N181" s="30" t="str">
        <f t="shared" si="14"/>
        <v>Sarah Anderson</v>
      </c>
    </row>
    <row r="182" spans="1:14" ht="15.75" customHeight="1" x14ac:dyDescent="0.3">
      <c r="A182" s="25" t="s">
        <v>54</v>
      </c>
      <c r="B182" s="25" t="s">
        <v>61</v>
      </c>
      <c r="C182" s="25" t="s">
        <v>26</v>
      </c>
      <c r="D182" s="25" t="s">
        <v>13</v>
      </c>
      <c r="E182" s="25">
        <v>499.18</v>
      </c>
      <c r="F182" s="25">
        <v>15</v>
      </c>
      <c r="G182" s="25">
        <v>0.2</v>
      </c>
      <c r="H182" s="26">
        <v>45724</v>
      </c>
      <c r="I182" s="25">
        <v>159.74</v>
      </c>
      <c r="J182" s="27">
        <f t="shared" ca="1" si="10"/>
        <v>46324.918643055556</v>
      </c>
      <c r="K182" s="28">
        <f t="shared" si="11"/>
        <v>36.200000000000003</v>
      </c>
      <c r="L182" s="29">
        <f t="shared" si="12"/>
        <v>-5622.8480000000009</v>
      </c>
      <c r="M182" s="30">
        <f t="shared" si="13"/>
        <v>181</v>
      </c>
      <c r="N182" s="30" t="str">
        <f t="shared" si="14"/>
        <v>Emma Wilson</v>
      </c>
    </row>
    <row r="183" spans="1:14" ht="15.75" customHeight="1" x14ac:dyDescent="0.3">
      <c r="A183" s="25" t="s">
        <v>39</v>
      </c>
      <c r="B183" s="25" t="s">
        <v>40</v>
      </c>
      <c r="C183" s="25" t="s">
        <v>22</v>
      </c>
      <c r="D183" s="25" t="s">
        <v>13</v>
      </c>
      <c r="E183" s="25">
        <v>1064.19</v>
      </c>
      <c r="F183" s="25">
        <v>18</v>
      </c>
      <c r="G183" s="25">
        <v>0.05</v>
      </c>
      <c r="H183" s="26">
        <v>45725</v>
      </c>
      <c r="I183" s="25">
        <v>404.39</v>
      </c>
      <c r="J183" s="27">
        <f t="shared" ca="1" si="10"/>
        <v>46324.918643055556</v>
      </c>
      <c r="K183" s="28">
        <f t="shared" si="11"/>
        <v>36.4</v>
      </c>
      <c r="L183" s="29">
        <f t="shared" si="12"/>
        <v>-14315.405999999999</v>
      </c>
      <c r="M183" s="30">
        <f t="shared" si="13"/>
        <v>182</v>
      </c>
      <c r="N183" s="30" t="str">
        <f t="shared" si="14"/>
        <v>Mary Davis</v>
      </c>
    </row>
    <row r="184" spans="1:14" ht="15.75" customHeight="1" x14ac:dyDescent="0.3">
      <c r="A184" s="25" t="s">
        <v>69</v>
      </c>
      <c r="B184" s="25" t="s">
        <v>40</v>
      </c>
      <c r="C184" s="25" t="s">
        <v>20</v>
      </c>
      <c r="D184" s="25" t="s">
        <v>41</v>
      </c>
      <c r="E184" s="25">
        <v>438.76</v>
      </c>
      <c r="F184" s="25">
        <v>18</v>
      </c>
      <c r="G184" s="25">
        <v>0.05</v>
      </c>
      <c r="H184" s="26">
        <v>45726</v>
      </c>
      <c r="I184" s="25">
        <v>187.57</v>
      </c>
      <c r="J184" s="27">
        <f t="shared" ca="1" si="10"/>
        <v>46324.918643055556</v>
      </c>
      <c r="K184" s="28">
        <f t="shared" si="11"/>
        <v>36.6</v>
      </c>
      <c r="L184" s="29">
        <f t="shared" si="12"/>
        <v>-6677.4920000000002</v>
      </c>
      <c r="M184" s="30">
        <f t="shared" si="13"/>
        <v>183</v>
      </c>
      <c r="N184" s="30" t="str">
        <f t="shared" si="14"/>
        <v>David Davis</v>
      </c>
    </row>
    <row r="185" spans="1:14" ht="15.75" customHeight="1" x14ac:dyDescent="0.3">
      <c r="A185" s="25" t="s">
        <v>43</v>
      </c>
      <c r="B185" s="25" t="s">
        <v>57</v>
      </c>
      <c r="C185" s="25" t="s">
        <v>12</v>
      </c>
      <c r="D185" s="25" t="s">
        <v>17</v>
      </c>
      <c r="E185" s="25">
        <v>864.98</v>
      </c>
      <c r="F185" s="25">
        <v>2</v>
      </c>
      <c r="G185" s="25">
        <v>0.05</v>
      </c>
      <c r="H185" s="26">
        <v>45727</v>
      </c>
      <c r="I185" s="25">
        <v>410.87</v>
      </c>
      <c r="J185" s="27">
        <f t="shared" ca="1" si="10"/>
        <v>46324.918643055556</v>
      </c>
      <c r="K185" s="28">
        <f t="shared" si="11"/>
        <v>36.800000000000004</v>
      </c>
      <c r="L185" s="29">
        <f t="shared" si="12"/>
        <v>-14709.146000000002</v>
      </c>
      <c r="M185" s="30">
        <f t="shared" si="13"/>
        <v>184</v>
      </c>
      <c r="N185" s="30" t="str">
        <f t="shared" si="14"/>
        <v>Sarah Anderson</v>
      </c>
    </row>
    <row r="186" spans="1:14" ht="15.75" customHeight="1" x14ac:dyDescent="0.3">
      <c r="A186" s="25" t="s">
        <v>59</v>
      </c>
      <c r="B186" s="25" t="s">
        <v>57</v>
      </c>
      <c r="C186" s="25" t="s">
        <v>12</v>
      </c>
      <c r="D186" s="25" t="s">
        <v>29</v>
      </c>
      <c r="E186" s="25">
        <v>984.93</v>
      </c>
      <c r="F186" s="25">
        <v>14</v>
      </c>
      <c r="G186" s="25">
        <v>0.2</v>
      </c>
      <c r="H186" s="26">
        <v>45733</v>
      </c>
      <c r="I186" s="25">
        <v>275.77999999999997</v>
      </c>
      <c r="J186" s="27">
        <f t="shared" ca="1" si="10"/>
        <v>46324.918643055556</v>
      </c>
      <c r="K186" s="28">
        <f t="shared" si="11"/>
        <v>37</v>
      </c>
      <c r="L186" s="29">
        <f t="shared" si="12"/>
        <v>-9928.0799999999981</v>
      </c>
      <c r="M186" s="30">
        <f t="shared" si="13"/>
        <v>185</v>
      </c>
      <c r="N186" s="30" t="str">
        <f t="shared" si="14"/>
        <v>David Brown</v>
      </c>
    </row>
    <row r="187" spans="1:14" ht="15.75" customHeight="1" x14ac:dyDescent="0.3">
      <c r="A187" s="25" t="s">
        <v>27</v>
      </c>
      <c r="B187" s="25" t="s">
        <v>57</v>
      </c>
      <c r="C187" s="25" t="s">
        <v>12</v>
      </c>
      <c r="D187" s="25" t="s">
        <v>17</v>
      </c>
      <c r="E187" s="25">
        <v>1493.49</v>
      </c>
      <c r="F187" s="25">
        <v>18</v>
      </c>
      <c r="G187" s="25">
        <v>0</v>
      </c>
      <c r="H187" s="26">
        <v>45734</v>
      </c>
      <c r="I187" s="25">
        <v>746.74</v>
      </c>
      <c r="J187" s="27">
        <f t="shared" ca="1" si="10"/>
        <v>46324.918643055556</v>
      </c>
      <c r="K187" s="28">
        <f t="shared" si="11"/>
        <v>37.200000000000003</v>
      </c>
      <c r="L187" s="29">
        <f t="shared" si="12"/>
        <v>-27031.988000000001</v>
      </c>
      <c r="M187" s="30">
        <f t="shared" si="13"/>
        <v>186</v>
      </c>
      <c r="N187" s="30" t="str">
        <f t="shared" si="14"/>
        <v>David Smith</v>
      </c>
    </row>
    <row r="188" spans="1:14" ht="15.75" customHeight="1" x14ac:dyDescent="0.3">
      <c r="A188" s="25" t="s">
        <v>34</v>
      </c>
      <c r="B188" s="25" t="s">
        <v>55</v>
      </c>
      <c r="C188" s="25" t="s">
        <v>22</v>
      </c>
      <c r="D188" s="25" t="s">
        <v>17</v>
      </c>
      <c r="E188" s="25">
        <v>689.43</v>
      </c>
      <c r="F188" s="25">
        <v>9</v>
      </c>
      <c r="G188" s="25">
        <v>0.1</v>
      </c>
      <c r="H188" s="26">
        <v>45736</v>
      </c>
      <c r="I188" s="25">
        <v>310.24</v>
      </c>
      <c r="J188" s="27">
        <f t="shared" ca="1" si="10"/>
        <v>46324.918643055556</v>
      </c>
      <c r="K188" s="28">
        <f t="shared" si="11"/>
        <v>37.4</v>
      </c>
      <c r="L188" s="29">
        <f t="shared" si="12"/>
        <v>-11292.736000000001</v>
      </c>
      <c r="M188" s="30">
        <f t="shared" si="13"/>
        <v>187</v>
      </c>
      <c r="N188" s="30" t="str">
        <f t="shared" si="14"/>
        <v>Lisa Thomas</v>
      </c>
    </row>
    <row r="189" spans="1:14" ht="15.75" customHeight="1" x14ac:dyDescent="0.3">
      <c r="A189" s="25" t="s">
        <v>42</v>
      </c>
      <c r="B189" s="25" t="s">
        <v>61</v>
      </c>
      <c r="C189" s="25" t="s">
        <v>22</v>
      </c>
      <c r="D189" s="25" t="s">
        <v>17</v>
      </c>
      <c r="E189" s="25">
        <v>682.24</v>
      </c>
      <c r="F189" s="25">
        <v>1</v>
      </c>
      <c r="G189" s="25">
        <v>0</v>
      </c>
      <c r="H189" s="26">
        <v>45738</v>
      </c>
      <c r="I189" s="25">
        <v>341.12</v>
      </c>
      <c r="J189" s="27">
        <f t="shared" ca="1" si="10"/>
        <v>46324.918643055556</v>
      </c>
      <c r="K189" s="28">
        <f t="shared" si="11"/>
        <v>37.6</v>
      </c>
      <c r="L189" s="29">
        <f t="shared" si="12"/>
        <v>-12484.992</v>
      </c>
      <c r="M189" s="30">
        <f t="shared" si="13"/>
        <v>188</v>
      </c>
      <c r="N189" s="30" t="str">
        <f t="shared" si="14"/>
        <v>Emma Davis</v>
      </c>
    </row>
    <row r="190" spans="1:14" ht="15.75" customHeight="1" x14ac:dyDescent="0.3">
      <c r="A190" s="25" t="s">
        <v>43</v>
      </c>
      <c r="B190" s="25" t="s">
        <v>28</v>
      </c>
      <c r="C190" s="25" t="s">
        <v>26</v>
      </c>
      <c r="D190" s="25" t="s">
        <v>23</v>
      </c>
      <c r="E190" s="25">
        <v>458.54</v>
      </c>
      <c r="F190" s="25">
        <v>15</v>
      </c>
      <c r="G190" s="25">
        <v>0.2</v>
      </c>
      <c r="H190" s="26">
        <v>45741</v>
      </c>
      <c r="I190" s="25">
        <v>91.71</v>
      </c>
      <c r="J190" s="27">
        <f t="shared" ca="1" si="10"/>
        <v>46324.918643055556</v>
      </c>
      <c r="K190" s="28">
        <f t="shared" si="11"/>
        <v>37.800000000000004</v>
      </c>
      <c r="L190" s="29">
        <f t="shared" si="12"/>
        <v>-3374.9280000000003</v>
      </c>
      <c r="M190" s="30">
        <f t="shared" si="13"/>
        <v>189</v>
      </c>
      <c r="N190" s="30" t="str">
        <f t="shared" si="14"/>
        <v>Linda Jackson</v>
      </c>
    </row>
    <row r="191" spans="1:14" ht="15.75" customHeight="1" x14ac:dyDescent="0.3">
      <c r="A191" s="25" t="s">
        <v>34</v>
      </c>
      <c r="B191" s="25" t="s">
        <v>28</v>
      </c>
      <c r="C191" s="25" t="s">
        <v>22</v>
      </c>
      <c r="D191" s="25" t="s">
        <v>29</v>
      </c>
      <c r="E191" s="25">
        <v>1184.25</v>
      </c>
      <c r="F191" s="25">
        <v>11</v>
      </c>
      <c r="G191" s="25">
        <v>0.2</v>
      </c>
      <c r="H191" s="26">
        <v>45742</v>
      </c>
      <c r="I191" s="25">
        <v>331.59</v>
      </c>
      <c r="J191" s="27">
        <f t="shared" ca="1" si="10"/>
        <v>46324.918643055556</v>
      </c>
      <c r="K191" s="28">
        <f t="shared" si="11"/>
        <v>38</v>
      </c>
      <c r="L191" s="29">
        <f t="shared" si="12"/>
        <v>-12268.83</v>
      </c>
      <c r="M191" s="30">
        <f t="shared" si="13"/>
        <v>190</v>
      </c>
      <c r="N191" s="30" t="str">
        <f t="shared" si="14"/>
        <v>Mary Wilson</v>
      </c>
    </row>
    <row r="192" spans="1:14" ht="15.75" customHeight="1" x14ac:dyDescent="0.3">
      <c r="A192" s="25" t="s">
        <v>27</v>
      </c>
      <c r="B192" s="25" t="s">
        <v>11</v>
      </c>
      <c r="C192" s="25" t="s">
        <v>22</v>
      </c>
      <c r="D192" s="25" t="s">
        <v>17</v>
      </c>
      <c r="E192" s="25">
        <v>762.14</v>
      </c>
      <c r="F192" s="25">
        <v>9</v>
      </c>
      <c r="G192" s="25">
        <v>0</v>
      </c>
      <c r="H192" s="26">
        <v>45743</v>
      </c>
      <c r="I192" s="25">
        <v>381.07</v>
      </c>
      <c r="J192" s="27">
        <f t="shared" ca="1" si="10"/>
        <v>46324.918643055556</v>
      </c>
      <c r="K192" s="28">
        <f t="shared" si="11"/>
        <v>38.200000000000003</v>
      </c>
      <c r="L192" s="29">
        <f t="shared" si="12"/>
        <v>-14175.804</v>
      </c>
      <c r="M192" s="30">
        <f t="shared" si="13"/>
        <v>191</v>
      </c>
      <c r="N192" s="30" t="str">
        <f t="shared" si="14"/>
        <v>David Brown</v>
      </c>
    </row>
    <row r="193" spans="1:14" ht="15.75" customHeight="1" x14ac:dyDescent="0.3">
      <c r="A193" s="25" t="s">
        <v>24</v>
      </c>
      <c r="B193" s="25" t="s">
        <v>55</v>
      </c>
      <c r="C193" s="25" t="s">
        <v>26</v>
      </c>
      <c r="D193" s="25" t="s">
        <v>13</v>
      </c>
      <c r="E193" s="25">
        <v>750.71</v>
      </c>
      <c r="F193" s="25">
        <v>10</v>
      </c>
      <c r="G193" s="25">
        <v>0.15</v>
      </c>
      <c r="H193" s="26">
        <v>45743</v>
      </c>
      <c r="I193" s="25">
        <v>255.24</v>
      </c>
      <c r="J193" s="27">
        <f t="shared" ca="1" si="10"/>
        <v>46324.918643055556</v>
      </c>
      <c r="K193" s="28">
        <f t="shared" si="11"/>
        <v>38.400000000000006</v>
      </c>
      <c r="L193" s="29">
        <f t="shared" si="12"/>
        <v>-9545.9760000000024</v>
      </c>
      <c r="M193" s="30">
        <f t="shared" si="13"/>
        <v>192</v>
      </c>
      <c r="N193" s="30" t="str">
        <f t="shared" si="14"/>
        <v>Michael Anderson</v>
      </c>
    </row>
    <row r="194" spans="1:14" ht="15.75" customHeight="1" x14ac:dyDescent="0.3">
      <c r="A194" s="25" t="s">
        <v>77</v>
      </c>
      <c r="B194" s="25" t="s">
        <v>73</v>
      </c>
      <c r="C194" s="25" t="s">
        <v>36</v>
      </c>
      <c r="D194" s="25" t="s">
        <v>17</v>
      </c>
      <c r="E194" s="25">
        <v>1456.94</v>
      </c>
      <c r="F194" s="25">
        <v>14</v>
      </c>
      <c r="G194" s="25">
        <v>0.05</v>
      </c>
      <c r="H194" s="26">
        <v>45745</v>
      </c>
      <c r="I194" s="25">
        <v>692.05</v>
      </c>
      <c r="J194" s="27">
        <f t="shared" ca="1" si="10"/>
        <v>46324.918643055556</v>
      </c>
      <c r="K194" s="28">
        <f t="shared" si="11"/>
        <v>38.6</v>
      </c>
      <c r="L194" s="29">
        <f t="shared" si="12"/>
        <v>-26021.079999999998</v>
      </c>
      <c r="M194" s="30">
        <f t="shared" si="13"/>
        <v>193</v>
      </c>
      <c r="N194" s="30" t="str">
        <f t="shared" si="14"/>
        <v>Michael Anderson</v>
      </c>
    </row>
    <row r="195" spans="1:14" ht="15.75" customHeight="1" x14ac:dyDescent="0.3">
      <c r="A195" s="25" t="s">
        <v>46</v>
      </c>
      <c r="B195" s="25" t="s">
        <v>63</v>
      </c>
      <c r="C195" s="25" t="s">
        <v>20</v>
      </c>
      <c r="D195" s="25" t="s">
        <v>29</v>
      </c>
      <c r="E195" s="25">
        <v>1093.3800000000001</v>
      </c>
      <c r="F195" s="25">
        <v>17</v>
      </c>
      <c r="G195" s="25">
        <v>0.1</v>
      </c>
      <c r="H195" s="26">
        <v>45745</v>
      </c>
      <c r="I195" s="25">
        <v>344.41</v>
      </c>
      <c r="J195" s="27">
        <f t="shared" ref="J195:J201" ca="1" si="15">NOW()</f>
        <v>46324.918643055556</v>
      </c>
      <c r="K195" s="28">
        <f t="shared" ref="K195:K201" si="16">(ROW()-1)*0.2</f>
        <v>38.800000000000004</v>
      </c>
      <c r="L195" s="29">
        <f t="shared" ref="L195:L201" si="17">I195 * (1 - K195)</f>
        <v>-13018.698000000002</v>
      </c>
      <c r="M195" s="30">
        <f t="shared" ref="M195:M201" si="18">ROW()-1</f>
        <v>194</v>
      </c>
      <c r="N195" s="30" t="str">
        <f t="shared" ref="N195:N201" si="19">INDEX($B$2:$B$201, MATCH(LARGE($E$2:$E$201, M195), $E$2:$E$201, 0))</f>
        <v>Emma Davis</v>
      </c>
    </row>
    <row r="196" spans="1:14" ht="15.75" customHeight="1" x14ac:dyDescent="0.3">
      <c r="A196" s="25" t="s">
        <v>39</v>
      </c>
      <c r="B196" s="25" t="s">
        <v>45</v>
      </c>
      <c r="C196" s="25" t="s">
        <v>12</v>
      </c>
      <c r="D196" s="25" t="s">
        <v>17</v>
      </c>
      <c r="E196" s="25">
        <v>934.27</v>
      </c>
      <c r="F196" s="25">
        <v>8</v>
      </c>
      <c r="G196" s="25">
        <v>0.15</v>
      </c>
      <c r="H196" s="26">
        <v>45746</v>
      </c>
      <c r="I196" s="25">
        <v>397.06</v>
      </c>
      <c r="J196" s="27">
        <f t="shared" ca="1" si="15"/>
        <v>46324.918643055556</v>
      </c>
      <c r="K196" s="28">
        <f t="shared" si="16"/>
        <v>39</v>
      </c>
      <c r="L196" s="29">
        <f t="shared" si="17"/>
        <v>-15088.28</v>
      </c>
      <c r="M196" s="30">
        <f t="shared" si="18"/>
        <v>195</v>
      </c>
      <c r="N196" s="30" t="str">
        <f t="shared" si="19"/>
        <v>Robert Anderson</v>
      </c>
    </row>
    <row r="197" spans="1:14" ht="15.75" customHeight="1" x14ac:dyDescent="0.3">
      <c r="A197" s="25" t="s">
        <v>72</v>
      </c>
      <c r="B197" s="25" t="s">
        <v>38</v>
      </c>
      <c r="C197" s="25" t="s">
        <v>36</v>
      </c>
      <c r="D197" s="25" t="s">
        <v>17</v>
      </c>
      <c r="E197" s="25">
        <v>1465.35</v>
      </c>
      <c r="F197" s="25">
        <v>8</v>
      </c>
      <c r="G197" s="25">
        <v>0.2</v>
      </c>
      <c r="H197" s="26">
        <v>45746</v>
      </c>
      <c r="I197" s="25">
        <v>586.14</v>
      </c>
      <c r="J197" s="27">
        <f t="shared" ca="1" si="15"/>
        <v>46324.918643055556</v>
      </c>
      <c r="K197" s="28">
        <f t="shared" si="16"/>
        <v>39.200000000000003</v>
      </c>
      <c r="L197" s="29">
        <f t="shared" si="17"/>
        <v>-22390.548000000003</v>
      </c>
      <c r="M197" s="30">
        <f t="shared" si="18"/>
        <v>196</v>
      </c>
      <c r="N197" s="30" t="str">
        <f t="shared" si="19"/>
        <v>Lisa Thomas</v>
      </c>
    </row>
    <row r="198" spans="1:14" ht="15.75" customHeight="1" x14ac:dyDescent="0.3">
      <c r="A198" s="25" t="s">
        <v>54</v>
      </c>
      <c r="B198" s="25" t="s">
        <v>16</v>
      </c>
      <c r="C198" s="25" t="s">
        <v>22</v>
      </c>
      <c r="D198" s="25" t="s">
        <v>41</v>
      </c>
      <c r="E198" s="25">
        <v>740.8</v>
      </c>
      <c r="F198" s="25">
        <v>3</v>
      </c>
      <c r="G198" s="25">
        <v>0</v>
      </c>
      <c r="H198" s="26">
        <v>45749</v>
      </c>
      <c r="I198" s="25">
        <v>333.36</v>
      </c>
      <c r="J198" s="27">
        <f t="shared" ca="1" si="15"/>
        <v>46324.918643055556</v>
      </c>
      <c r="K198" s="28">
        <f t="shared" si="16"/>
        <v>39.400000000000006</v>
      </c>
      <c r="L198" s="29">
        <f t="shared" si="17"/>
        <v>-12801.024000000003</v>
      </c>
      <c r="M198" s="30">
        <f t="shared" si="18"/>
        <v>197</v>
      </c>
      <c r="N198" s="30" t="str">
        <f t="shared" si="19"/>
        <v>David Thomas</v>
      </c>
    </row>
    <row r="199" spans="1:14" ht="15.75" customHeight="1" x14ac:dyDescent="0.3">
      <c r="A199" s="25" t="s">
        <v>60</v>
      </c>
      <c r="B199" s="25" t="s">
        <v>45</v>
      </c>
      <c r="C199" s="25" t="s">
        <v>12</v>
      </c>
      <c r="D199" s="25" t="s">
        <v>41</v>
      </c>
      <c r="E199" s="25">
        <v>545.44000000000005</v>
      </c>
      <c r="F199" s="25">
        <v>17</v>
      </c>
      <c r="G199" s="25">
        <v>0</v>
      </c>
      <c r="H199" s="26">
        <v>45752</v>
      </c>
      <c r="I199" s="25">
        <v>245.45</v>
      </c>
      <c r="J199" s="27">
        <f t="shared" ca="1" si="15"/>
        <v>46324.918643055556</v>
      </c>
      <c r="K199" s="28">
        <f t="shared" si="16"/>
        <v>39.6</v>
      </c>
      <c r="L199" s="29">
        <f t="shared" si="17"/>
        <v>-9474.3700000000008</v>
      </c>
      <c r="M199" s="30">
        <f t="shared" si="18"/>
        <v>198</v>
      </c>
      <c r="N199" s="30" t="str">
        <f t="shared" si="19"/>
        <v>David Anderson</v>
      </c>
    </row>
    <row r="200" spans="1:14" ht="15.75" customHeight="1" x14ac:dyDescent="0.3">
      <c r="A200" s="25" t="s">
        <v>37</v>
      </c>
      <c r="B200" s="25" t="s">
        <v>38</v>
      </c>
      <c r="C200" s="25" t="s">
        <v>20</v>
      </c>
      <c r="D200" s="25" t="s">
        <v>13</v>
      </c>
      <c r="E200" s="25">
        <v>997.61</v>
      </c>
      <c r="F200" s="25">
        <v>8</v>
      </c>
      <c r="G200" s="25">
        <v>0.05</v>
      </c>
      <c r="H200" s="26">
        <v>45752</v>
      </c>
      <c r="I200" s="25">
        <v>379.09</v>
      </c>
      <c r="J200" s="27">
        <f t="shared" ca="1" si="15"/>
        <v>46324.918643055556</v>
      </c>
      <c r="K200" s="28">
        <f t="shared" si="16"/>
        <v>39.800000000000004</v>
      </c>
      <c r="L200" s="29">
        <f t="shared" si="17"/>
        <v>-14708.692000000001</v>
      </c>
      <c r="M200" s="30">
        <f t="shared" si="18"/>
        <v>199</v>
      </c>
      <c r="N200" s="30" t="str">
        <f t="shared" si="19"/>
        <v>Lisa Davis</v>
      </c>
    </row>
    <row r="201" spans="1:14" ht="15.75" customHeight="1" x14ac:dyDescent="0.3">
      <c r="A201" s="25" t="s">
        <v>62</v>
      </c>
      <c r="B201" s="25" t="s">
        <v>38</v>
      </c>
      <c r="C201" s="25" t="s">
        <v>22</v>
      </c>
      <c r="D201" s="25" t="s">
        <v>17</v>
      </c>
      <c r="E201" s="25">
        <v>928.32</v>
      </c>
      <c r="F201" s="25">
        <v>2</v>
      </c>
      <c r="G201" s="25">
        <v>0.05</v>
      </c>
      <c r="H201" s="26">
        <v>45754</v>
      </c>
      <c r="I201" s="25">
        <v>440.95</v>
      </c>
      <c r="J201" s="27">
        <f t="shared" ca="1" si="15"/>
        <v>46324.918643055556</v>
      </c>
      <c r="K201" s="28">
        <f t="shared" si="16"/>
        <v>40</v>
      </c>
      <c r="L201" s="29">
        <f t="shared" si="17"/>
        <v>-17197.05</v>
      </c>
      <c r="M201" s="30">
        <f t="shared" si="18"/>
        <v>200</v>
      </c>
      <c r="N201" s="30" t="str">
        <f t="shared" si="19"/>
        <v>James Wilson</v>
      </c>
    </row>
    <row r="202" spans="1:14" ht="15.75" customHeight="1" x14ac:dyDescent="0.3">
      <c r="J202" s="5"/>
      <c r="L202" s="4"/>
      <c r="M202" s="8"/>
    </row>
    <row r="203" spans="1:14" ht="15.75" customHeight="1" x14ac:dyDescent="0.3">
      <c r="J203" s="5"/>
      <c r="M203" s="8"/>
    </row>
    <row r="204" spans="1:14" ht="15.75" customHeight="1" x14ac:dyDescent="0.3">
      <c r="J204" s="5"/>
      <c r="M204" s="8"/>
    </row>
    <row r="205" spans="1:14" ht="15.75" customHeight="1" x14ac:dyDescent="0.3">
      <c r="J205" s="5"/>
      <c r="M205" s="8"/>
    </row>
    <row r="206" spans="1:14" ht="15.75" customHeight="1" x14ac:dyDescent="0.3">
      <c r="J206" s="5"/>
      <c r="M206" s="8"/>
    </row>
    <row r="207" spans="1:14" ht="15.75" customHeight="1" x14ac:dyDescent="0.3">
      <c r="J207" s="5"/>
      <c r="M207" s="8"/>
    </row>
    <row r="208" spans="1:14" ht="15.75" customHeight="1" x14ac:dyDescent="0.3">
      <c r="J208" s="5"/>
      <c r="M208" s="8"/>
    </row>
    <row r="209" spans="10:14" ht="15.75" customHeight="1" x14ac:dyDescent="0.3">
      <c r="J209" s="5"/>
      <c r="M209" s="8"/>
      <c r="N209"/>
    </row>
    <row r="210" spans="10:14" ht="15.75" customHeight="1" x14ac:dyDescent="0.3">
      <c r="M210" s="8"/>
      <c r="N210"/>
    </row>
    <row r="211" spans="10:14" ht="15.75" customHeight="1" x14ac:dyDescent="0.3">
      <c r="M211" s="8"/>
      <c r="N211"/>
    </row>
    <row r="212" spans="10:14" ht="15.75" customHeight="1" x14ac:dyDescent="0.3">
      <c r="M212" s="8"/>
      <c r="N212"/>
    </row>
    <row r="213" spans="10:14" ht="15.75" customHeight="1" x14ac:dyDescent="0.3">
      <c r="M213" s="8"/>
    </row>
    <row r="214" spans="10:14" ht="15.75" customHeight="1" x14ac:dyDescent="0.3">
      <c r="M214" s="8"/>
    </row>
    <row r="215" spans="10:14" ht="15.75" customHeight="1" x14ac:dyDescent="0.3">
      <c r="M215" s="8"/>
    </row>
    <row r="216" spans="10:14" ht="15.75" customHeight="1" x14ac:dyDescent="0.3">
      <c r="M216" s="8"/>
    </row>
    <row r="217" spans="10:14" ht="15.75" customHeight="1" x14ac:dyDescent="0.3">
      <c r="M217" s="8"/>
    </row>
    <row r="218" spans="10:14" ht="15.75" customHeight="1" x14ac:dyDescent="0.3">
      <c r="M218" s="8"/>
    </row>
    <row r="219" spans="10:14" ht="15.75" customHeight="1" x14ac:dyDescent="0.3">
      <c r="M219" s="8"/>
    </row>
    <row r="220" spans="10:14" ht="15.75" customHeight="1" x14ac:dyDescent="0.3">
      <c r="M220" s="8"/>
    </row>
    <row r="221" spans="10:14" ht="15.75" customHeight="1" x14ac:dyDescent="0.3"/>
    <row r="222" spans="10:14" ht="15.75" customHeight="1" x14ac:dyDescent="0.3"/>
    <row r="223" spans="10:14" ht="15.75" customHeight="1" x14ac:dyDescent="0.3"/>
    <row r="224" spans="10:1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Discount_20_Percent" locked="1" count="1" user="lisa patel" comment="&quot;Testing discount changing&quot;">
      <inputCells r="G2" val="0.2"/>
    </scenario>
    <scenario name="0.15" locked="1" count="1" user="lisa patel">
      <inputCells r="G2" val="0.2"/>
    </scenario>
  </scenarios>
  <mergeCells count="5">
    <mergeCell ref="AW1:AW2"/>
    <mergeCell ref="AW3:AW4"/>
    <mergeCell ref="AA2:AI3"/>
    <mergeCell ref="AA4:AI4"/>
    <mergeCell ref="P1:Y1"/>
  </mergeCells>
  <conditionalFormatting sqref="A2:I201 K2:K205">
    <cfRule type="expression" dxfId="0" priority="2">
      <formula>RANK($E2, $E$2:$E$201) &lt;= 10</formula>
    </cfRule>
  </conditionalFormatting>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Dashboard</vt:lpstr>
      <vt:lpstr>Pivote Table</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lisa patel</cp:lastModifiedBy>
  <dcterms:modified xsi:type="dcterms:W3CDTF">2026-10-29T16:33:07Z</dcterms:modified>
</cp:coreProperties>
</file>